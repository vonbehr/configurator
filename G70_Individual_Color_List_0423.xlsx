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概览" sheetId="2" r:id="rId5"/>
    <sheet name="0319 Version" sheetId="3" r:id="rId6"/>
    <sheet name="已删除颜色" sheetId="4" r:id="rId7"/>
  </sheets>
</workbook>
</file>

<file path=xl/sharedStrings.xml><?xml version="1.0" encoding="utf-8"?>
<sst xmlns="http://schemas.openxmlformats.org/spreadsheetml/2006/main" uniqueCount="896">
  <si>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</si>
  <si>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</si>
  <si>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</si>
  <si>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</si>
  <si>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概览</t>
  </si>
  <si>
    <t>Table 1</t>
  </si>
  <si>
    <t>车色总数</t>
  </si>
  <si>
    <t>支持Two Tone颜色</t>
  </si>
  <si>
    <t>仅支持单色</t>
  </si>
  <si>
    <t>最终车色总数</t>
  </si>
  <si>
    <t>色系车色数</t>
  </si>
  <si>
    <t>Single Color</t>
  </si>
  <si>
    <t>Two-tone</t>
  </si>
  <si>
    <t>蓝色系车色数
blue</t>
  </si>
  <si>
    <t>Blue</t>
  </si>
  <si>
    <t>Blue Single Color</t>
  </si>
  <si>
    <t>Blue+ black
Two Tone</t>
  </si>
  <si>
    <t>Blue+ Gray
Two Tone</t>
  </si>
  <si>
    <t>磨砂车色数量
Frozen</t>
  </si>
  <si>
    <t>金属车色数量
Metallic</t>
  </si>
  <si>
    <t>非金属车色数量
Uni</t>
  </si>
  <si>
    <t>红色系车色数
red</t>
  </si>
  <si>
    <t>Red</t>
  </si>
  <si>
    <t>Red Single Color</t>
  </si>
  <si>
    <t>Red+ black
Two Tone</t>
  </si>
  <si>
    <t>Red+ Gray
Two Tone</t>
  </si>
  <si>
    <t>黄色系车色数
yellow</t>
  </si>
  <si>
    <t>Yellow</t>
  </si>
  <si>
    <t>Yellow Single Color</t>
  </si>
  <si>
    <t>Yellow+ black
Two Tone</t>
  </si>
  <si>
    <t>Yellow+ Gray
Two Tone</t>
  </si>
  <si>
    <t>绿色系车色数
green</t>
  </si>
  <si>
    <t>Green</t>
  </si>
  <si>
    <t>Green Single Color</t>
  </si>
  <si>
    <t>Green+ black
Two Tone</t>
  </si>
  <si>
    <t>Green+ Gray
Two Tone</t>
  </si>
  <si>
    <t>紫色系车色数
violet</t>
  </si>
  <si>
    <t>Violet</t>
  </si>
  <si>
    <t>Violet Single Color</t>
  </si>
  <si>
    <t>Violet + black
Two Tone</t>
  </si>
  <si>
    <t>Violet + Gray
Two Tone</t>
  </si>
  <si>
    <t>橙色系车色数
orange</t>
  </si>
  <si>
    <t>Orange</t>
  </si>
  <si>
    <t>Orange Single Color</t>
  </si>
  <si>
    <t>Orange+ black
Two Tone</t>
  </si>
  <si>
    <t>Orange+ Gray
Two Tone</t>
  </si>
  <si>
    <t>棕色系车色数
brown</t>
  </si>
  <si>
    <t>Brown</t>
  </si>
  <si>
    <t>Brown Single Color</t>
  </si>
  <si>
    <t>Brown+ black
Two Tone</t>
  </si>
  <si>
    <t>Brown+ Gray
Two Tone</t>
  </si>
  <si>
    <t>灰色系车色数
gray</t>
  </si>
  <si>
    <t>Gray</t>
  </si>
  <si>
    <t>Gray Single Color</t>
  </si>
  <si>
    <t>Gray+ black
Two Tone</t>
  </si>
  <si>
    <t>Gray+ Gray
Two Tone</t>
  </si>
  <si>
    <t>黑色系车色数
black</t>
  </si>
  <si>
    <t>Black</t>
  </si>
  <si>
    <t>Black Single Color</t>
  </si>
  <si>
    <t>Black+ black
Two Tone</t>
  </si>
  <si>
    <t>Black+ Gray
Two Tone</t>
  </si>
  <si>
    <t>白色系车色数
white</t>
  </si>
  <si>
    <t>White</t>
  </si>
  <si>
    <t>White Single Color</t>
  </si>
  <si>
    <t>White+ black
Two Tone</t>
  </si>
  <si>
    <t>white+ Gray
Two Tone</t>
  </si>
  <si>
    <t>0319 Version</t>
  </si>
  <si>
    <t>Paintwork Catalogue</t>
  </si>
  <si>
    <t>num</t>
  </si>
  <si>
    <t>Color Code</t>
  </si>
  <si>
    <t>Name</t>
  </si>
  <si>
    <t>Chinese Name</t>
  </si>
  <si>
    <t>Hex（色值）</t>
  </si>
  <si>
    <t>Base color（色系）</t>
  </si>
  <si>
    <t>Lackart（材质）</t>
  </si>
  <si>
    <t>Individual Color</t>
  </si>
  <si>
    <t>Mark</t>
  </si>
  <si>
    <t>WC1M - PHYTONIC BLUE METALLIC</t>
  </si>
  <si>
    <t>C1M</t>
  </si>
  <si>
    <t>PHYTONIC BLUE METALLIC</t>
  </si>
  <si>
    <t>个性化定制量子蓝</t>
  </si>
  <si>
    <t>#264185</t>
  </si>
  <si>
    <t>blue</t>
  </si>
  <si>
    <t>Metallic</t>
  </si>
  <si>
    <t>Individual TT</t>
  </si>
  <si>
    <t>单色/宝石青/岩石灰</t>
  </si>
  <si>
    <t>Single/Black/Gray</t>
  </si>
  <si>
    <t>WC31 - PORTIMAO BLUE METALLIC</t>
  </si>
  <si>
    <t>C31</t>
  </si>
  <si>
    <t>PORTIMAO BLUE METALLIC</t>
  </si>
  <si>
    <t>个性化定制波尔蒂芒蓝</t>
  </si>
  <si>
    <t>#1A2862</t>
  </si>
  <si>
    <t>WC4W - SKYSCRAPER GREY METALLIC</t>
  </si>
  <si>
    <t>C4W</t>
  </si>
  <si>
    <t>SKYSCRAPER GREY METALLIC</t>
  </si>
  <si>
    <t>个性化定制摩天灰</t>
  </si>
  <si>
    <t>#7C8189</t>
  </si>
  <si>
    <t>gray</t>
  </si>
  <si>
    <t>WU21 - BRILLIANT WHITE METALLIC</t>
  </si>
  <si>
    <t>U21</t>
  </si>
  <si>
    <t>BRILLIANT WHITE METALLIC</t>
  </si>
  <si>
    <t>个性化定制晶莹白</t>
  </si>
  <si>
    <t>#edeff0</t>
  </si>
  <si>
    <t>white</t>
  </si>
  <si>
    <t>No</t>
  </si>
  <si>
    <t>单色</t>
  </si>
  <si>
    <t>Single</t>
  </si>
  <si>
    <t>WC4E - SANREMO GREEN METALLIC</t>
  </si>
  <si>
    <t>C4E</t>
  </si>
  <si>
    <t>SANREMO GREEN METALLIC</t>
  </si>
  <si>
    <t>个性化定制圣雷莫绿</t>
  </si>
  <si>
    <t>#0a522a</t>
  </si>
  <si>
    <t>green</t>
  </si>
  <si>
    <t>WU91 - FROZEN BLACK METALLIC</t>
  </si>
  <si>
    <t>U91</t>
  </si>
  <si>
    <t>FROZEN BLACK METALLIC</t>
  </si>
  <si>
    <t>个性化定制磨砂黑</t>
  </si>
  <si>
    <t>#202123</t>
  </si>
  <si>
    <t>black</t>
  </si>
  <si>
    <t>Frozen</t>
  </si>
  <si>
    <t>WP7Z - FROZEN ORANGE II METALLIC</t>
  </si>
  <si>
    <t>P7Z</t>
  </si>
  <si>
    <t>FROZEN ORANGE II METALLIC</t>
  </si>
  <si>
    <t>个性化定制磨砂烈日橙</t>
  </si>
  <si>
    <t>#cb563b</t>
  </si>
  <si>
    <t>orange</t>
  </si>
  <si>
    <t>WP80 - FROZEN DEEP GREEN METALLIC</t>
  </si>
  <si>
    <t>P80</t>
  </si>
  <si>
    <t>FROZEN DEEP GREEN METALLIC</t>
  </si>
  <si>
    <t>个性化定制磨砂野境绿</t>
  </si>
  <si>
    <t>#436648</t>
  </si>
  <si>
    <t>WP7X - FROZEN DEEP GREY METALLIC</t>
  </si>
  <si>
    <t>P7X</t>
  </si>
  <si>
    <t>FROZEN DEEP GREY METALLIC</t>
  </si>
  <si>
    <t>个性化定制磨砂深灰</t>
  </si>
  <si>
    <t>#3f434d</t>
  </si>
  <si>
    <t>WP5T - FROZEN MARINA BAY BLUE METALLIC</t>
  </si>
  <si>
    <t>P5T</t>
  </si>
  <si>
    <t>FROZEN MARINA BAY BLUE METALLIC</t>
  </si>
  <si>
    <t>个性化定制磨砂滨海湾蓝</t>
  </si>
  <si>
    <t>#343B67</t>
  </si>
  <si>
    <t>YP8W - DAYTONA BEACH BLUE</t>
  </si>
  <si>
    <t>P8W</t>
  </si>
  <si>
    <t>DAYTONA BEACH BLUE</t>
  </si>
  <si>
    <t>个性化定制戴托纳海岸蓝</t>
  </si>
  <si>
    <t>#1092C6</t>
  </si>
  <si>
    <t>Uni</t>
  </si>
  <si>
    <t>WC4F - ARCTIC RACE BLUE METALLIC</t>
  </si>
  <si>
    <t>C4F</t>
  </si>
  <si>
    <t>ARCTIC RACE BLUE METALLIC</t>
  </si>
  <si>
    <t>个性化定制极速蓝</t>
  </si>
  <si>
    <t>#395466</t>
  </si>
  <si>
    <t>WP8T - LIQUID COPPER</t>
  </si>
  <si>
    <t>P8T</t>
  </si>
  <si>
    <t>LIQUID COPPER</t>
  </si>
  <si>
    <t>个性化定制液态铜</t>
  </si>
  <si>
    <t>#A87759</t>
  </si>
  <si>
    <t>brown</t>
  </si>
  <si>
    <t>WP85 - MALACHITE GREEN II METALLIC</t>
  </si>
  <si>
    <t>P85</t>
  </si>
  <si>
    <t>MALACHITE GREEN II METALLIC</t>
  </si>
  <si>
    <t>个性化定制孔雀绿</t>
  </si>
  <si>
    <t>#213733</t>
  </si>
  <si>
    <t>WP86 - PYRITE BROWN II METALLIC</t>
  </si>
  <si>
    <t>P86</t>
  </si>
  <si>
    <t>PYRITE BROWN II METALLIC</t>
  </si>
  <si>
    <t>个性化定制黄铁矿棕</t>
  </si>
  <si>
    <t>#533f31</t>
  </si>
  <si>
    <t>YC4H - SAO PAULO YELLOW</t>
  </si>
  <si>
    <t>C4H</t>
  </si>
  <si>
    <t>SAO PAULO YELLOW</t>
  </si>
  <si>
    <t>个性化定制圣保罗黄</t>
  </si>
  <si>
    <t>#c4cd4c</t>
  </si>
  <si>
    <t>yellow</t>
  </si>
  <si>
    <t>WP9B - FROZEN TAMPA BAY GREEN METALLIC</t>
  </si>
  <si>
    <t>P9B</t>
  </si>
  <si>
    <t>FROZEN TAMPA BAY GREEN METALLIC</t>
  </si>
  <si>
    <t>个性化定制磨砂坦帕湾绿</t>
  </si>
  <si>
    <t>#63A549</t>
  </si>
  <si>
    <t>WC3N - STORM BAY METALLIC</t>
  </si>
  <si>
    <t>C3N</t>
  </si>
  <si>
    <t>STORM BAY METALLIC</t>
  </si>
  <si>
    <t>个性化定制风暴灰</t>
  </si>
  <si>
    <t>#8c97a9</t>
  </si>
  <si>
    <t>WC5L - BLUE BAY LAGOON METALLIC</t>
  </si>
  <si>
    <t>C5L</t>
  </si>
  <si>
    <t>BLUE BAY LAGOON METALLIC</t>
  </si>
  <si>
    <t>个性化定制礁湖蓝</t>
  </si>
  <si>
    <t>#376f7f</t>
  </si>
  <si>
    <t>WC1D - MISANO BLUE METALLIC</t>
  </si>
  <si>
    <t>C1D</t>
  </si>
  <si>
    <t>MISANO BLUE METALLIC</t>
  </si>
  <si>
    <t>个性化定制天际蓝</t>
  </si>
  <si>
    <t>#0C6BB0</t>
  </si>
  <si>
    <t>WC5E - ALVIT GREY METALLIC</t>
  </si>
  <si>
    <t>C5E</t>
  </si>
  <si>
    <t>ALVIT GREY METALLIC</t>
  </si>
  <si>
    <t>个性化定制阿尔韦特灰</t>
  </si>
  <si>
    <t>#97929e</t>
  </si>
  <si>
    <t>WC4G - ISLE OF MAN GREEN METALLIC</t>
  </si>
  <si>
    <t>C4G</t>
  </si>
  <si>
    <t>ISLE OF MAN GREEN METALLIC</t>
  </si>
  <si>
    <t>个性化定制曼岛绿</t>
  </si>
  <si>
    <t>#036358</t>
  </si>
  <si>
    <t>WC1K - MARINA BAY BLUE METALLIC</t>
  </si>
  <si>
    <t>C1K</t>
  </si>
  <si>
    <t>MARINA BAY BLUE METALLIC</t>
  </si>
  <si>
    <t>个性化定制滨海湾蓝</t>
  </si>
  <si>
    <t>#072594</t>
  </si>
  <si>
    <t>WC3C - PIEMONT RED METALLIC</t>
  </si>
  <si>
    <t>C3C</t>
  </si>
  <si>
    <t>PIEMONT RED METALLIC</t>
  </si>
  <si>
    <t>个性化定制馥郁红</t>
  </si>
  <si>
    <t>#6C272A</t>
  </si>
  <si>
    <t>red</t>
  </si>
  <si>
    <t>WP6Y - CENTENNIAL BLUE METALLIC</t>
  </si>
  <si>
    <t>P6Y</t>
  </si>
  <si>
    <t>CENTENNIAL BLUE METALLIC</t>
  </si>
  <si>
    <t>个性化定制百年蓝</t>
  </si>
  <si>
    <t>#033261</t>
  </si>
  <si>
    <t>WP6M - GRIGIO TELESTO PERL</t>
  </si>
  <si>
    <t>P6M</t>
  </si>
  <si>
    <t>GRIGIO TELESTO PERL</t>
  </si>
  <si>
    <t>个性化定制军舰灰</t>
  </si>
  <si>
    <t>#85878d</t>
  </si>
  <si>
    <t>YP6K - NARDO GREY</t>
  </si>
  <si>
    <t>P6K</t>
  </si>
  <si>
    <t>NARDO GREY</t>
  </si>
  <si>
    <t>个性化定制纳多赛道灰</t>
  </si>
  <si>
    <t>#bfbfbf</t>
  </si>
  <si>
    <t>WP5R - BLUE HERA MICA METALLIC</t>
  </si>
  <si>
    <t>P5R</t>
  </si>
  <si>
    <t>BLUE HERA MICA METALLIC</t>
  </si>
  <si>
    <t>个性化定制赫拉云母金属蓝</t>
  </si>
  <si>
    <t>#044177</t>
  </si>
  <si>
    <t>M379 - VELVET BLUE METALLIC</t>
  </si>
  <si>
    <t>379</t>
  </si>
  <si>
    <t>VELVET BLUE METALLIC</t>
  </si>
  <si>
    <t>个性化定制天鹅绒蓝</t>
  </si>
  <si>
    <t>#2f2381</t>
  </si>
  <si>
    <t>WP08 - LAVAGREY METALLIC</t>
  </si>
  <si>
    <t>P08</t>
  </si>
  <si>
    <t>LAVAGREY METALLIC</t>
  </si>
  <si>
    <t>个性化定制火山灰</t>
  </si>
  <si>
    <t>#333438</t>
  </si>
  <si>
    <t>U312 - BRITISH RACINGGREEN</t>
  </si>
  <si>
    <t>312</t>
  </si>
  <si>
    <t>BRITISH RACINGGREEN</t>
  </si>
  <si>
    <t>个性化定制英国赛道绿</t>
  </si>
  <si>
    <t>#22362a</t>
  </si>
  <si>
    <t>WW69 - VENEZIAVIOLETT PERLEFFEKT METALLIC</t>
  </si>
  <si>
    <t>W69</t>
  </si>
  <si>
    <t>VENEZIAVIOLETT PERLEFFEKT METALLIC</t>
  </si>
  <si>
    <t>个性化定制威尼斯紫罗兰</t>
  </si>
  <si>
    <t>#281d47</t>
  </si>
  <si>
    <t>violet</t>
  </si>
  <si>
    <t>M430 - OXFORD GREEN 2 METALLIC</t>
  </si>
  <si>
    <t>430</t>
  </si>
  <si>
    <t>OXFORD GREEN 2 METALLIC</t>
  </si>
  <si>
    <t>个性化定制牛津绿</t>
  </si>
  <si>
    <t>#102F32</t>
  </si>
  <si>
    <t>WU80 - MACADAMIA METALLIC</t>
  </si>
  <si>
    <t>U80</t>
  </si>
  <si>
    <t>MACADAMIA METALLIC</t>
  </si>
  <si>
    <t>个性化定制澳洲坚果棕</t>
  </si>
  <si>
    <t>#5b4034</t>
  </si>
  <si>
    <t>M621 - BRASS METALLIC            M</t>
  </si>
  <si>
    <t>621</t>
  </si>
  <si>
    <r>
      <rPr>
        <sz val="11"/>
        <color indexed="8"/>
        <rFont val="Aptos Narrow"/>
      </rPr>
      <t>BRASS METALLIC</t>
    </r>
    <r>
      <rPr>
        <sz val="11"/>
        <color indexed="8"/>
        <rFont val="等线"/>
      </rPr>
      <t xml:space="preserve">            </t>
    </r>
    <r>
      <rPr>
        <sz val="11"/>
        <color indexed="8"/>
        <rFont val="Aptos Narrow"/>
      </rPr>
      <t>M</t>
    </r>
  </si>
  <si>
    <t>个性化定制黄铜色</t>
  </si>
  <si>
    <t>#797563</t>
  </si>
  <si>
    <t>M283 - DAYTONA VIOLET METALLIC</t>
  </si>
  <si>
    <t>283</t>
  </si>
  <si>
    <t>DAYTONA VIOLET METALLIC</t>
  </si>
  <si>
    <t>个性化定制戴托纳紫罗兰</t>
  </si>
  <si>
    <t>#43274f</t>
  </si>
  <si>
    <t>M406 - ORINOCO METALLIC</t>
  </si>
  <si>
    <t>406</t>
  </si>
  <si>
    <t>ORINOCO METALLIC</t>
  </si>
  <si>
    <t>个性化定制奥里诺科珍珠蓝灰</t>
  </si>
  <si>
    <t>#374048</t>
  </si>
  <si>
    <t>M381 - LE-MANS-BLUE METALLIC</t>
  </si>
  <si>
    <t>381</t>
  </si>
  <si>
    <t>LE-MANS-BLUE METALLIC</t>
  </si>
  <si>
    <t>个性化定制勒芒蓝</t>
  </si>
  <si>
    <t>#073584</t>
  </si>
  <si>
    <t>M453 - NIGHT BLUE METALLIC</t>
  </si>
  <si>
    <t>453</t>
  </si>
  <si>
    <t>NIGHT BLUE METALLIC</t>
  </si>
  <si>
    <t>个性化定制夜空蓝</t>
  </si>
  <si>
    <t>#092342</t>
  </si>
  <si>
    <t>WA31 - INDIANAPOLIS RED METALLIC</t>
  </si>
  <si>
    <t>A31</t>
  </si>
  <si>
    <t>INDIANAPOLIS RED METALLIC</t>
  </si>
  <si>
    <r>
      <rPr>
        <sz val="11"/>
        <color indexed="8"/>
        <rFont val="Aptos Narrow"/>
      </rPr>
      <t>个性化定制印</t>
    </r>
    <r>
      <rPr>
        <sz val="11"/>
        <color indexed="59"/>
        <rFont val="等线"/>
      </rPr>
      <t>第</t>
    </r>
    <r>
      <rPr>
        <sz val="11"/>
        <color indexed="8"/>
        <rFont val="Aptos Narrow"/>
      </rPr>
      <t>安纳波利斯红</t>
    </r>
  </si>
  <si>
    <t>#7B2B37</t>
  </si>
  <si>
    <t>WW03 - CRYSTAL CASSERIT BLACK METALLIC</t>
  </si>
  <si>
    <t>W03</t>
  </si>
  <si>
    <t>CRYSTAL CASSERIT BLACK METALLIC</t>
  </si>
  <si>
    <t>个性化定制水晶卡塞里特黑</t>
  </si>
  <si>
    <t>#252127</t>
  </si>
  <si>
    <t>WW81 - PERIDOTGREEN METALLIC</t>
  </si>
  <si>
    <t>W81</t>
  </si>
  <si>
    <t>PERIDOTGREEN METALLIC</t>
  </si>
  <si>
    <t>个性化定制橄榄石绿</t>
  </si>
  <si>
    <t>#07402d</t>
  </si>
  <si>
    <t>WA73 - JEREZ BLACK METALLIC</t>
  </si>
  <si>
    <t>A73</t>
  </si>
  <si>
    <t>JEREZ BLACK METALLIC</t>
  </si>
  <si>
    <t>个性化定制赫雷斯黑色</t>
  </si>
  <si>
    <t>#1b1e23</t>
  </si>
  <si>
    <t>M397 - ANTHRACITE METALLIC</t>
  </si>
  <si>
    <t>397</t>
  </si>
  <si>
    <t>ANTHRACITE METALLIC</t>
  </si>
  <si>
    <t>个性化定制墨灰色</t>
  </si>
  <si>
    <t>#3F4752</t>
  </si>
  <si>
    <t>WR95 - BELLADONNA PURPLE METALLIC</t>
  </si>
  <si>
    <t>R95</t>
  </si>
  <si>
    <t>BELLADONNA PURPLE METALLIC</t>
  </si>
  <si>
    <t>个性化定制颠茄紫</t>
  </si>
  <si>
    <t>#482e3c</t>
  </si>
  <si>
    <t>WA53 - PLATINUM BRONZE METALLIC</t>
  </si>
  <si>
    <t>A53</t>
  </si>
  <si>
    <t>PLATINUM BRONZE METALLIC</t>
  </si>
  <si>
    <t>个性化定制铂铜色</t>
  </si>
  <si>
    <t>#817f79</t>
  </si>
  <si>
    <t>M336 - AEGEAN BLUE METALLIC</t>
  </si>
  <si>
    <t>336</t>
  </si>
  <si>
    <t>AEGEAN BLUE METALLIC</t>
  </si>
  <si>
    <t>个性化定制爱琴海蓝</t>
  </si>
  <si>
    <t>#154454</t>
  </si>
  <si>
    <t>M275 - BOSTON GREEN METALLIC</t>
  </si>
  <si>
    <t>275</t>
  </si>
  <si>
    <t>BOSTON GREEN METALLIC</t>
  </si>
  <si>
    <t>个性化定制波士顿绿</t>
  </si>
  <si>
    <t>#004847</t>
  </si>
  <si>
    <t>YW37 - GENTIANBLUE</t>
  </si>
  <si>
    <t>W37</t>
  </si>
  <si>
    <t>GENTIANBLUE</t>
  </si>
  <si>
    <t>个性化定制龙胆蓝</t>
  </si>
  <si>
    <t>#015ab4</t>
  </si>
  <si>
    <t>WR36 - METROPOLITAN BLUE METALLIC</t>
  </si>
  <si>
    <t>R36</t>
  </si>
  <si>
    <t>METROPOLITAN BLUE METALLIC</t>
  </si>
  <si>
    <t>个性化定制都市蓝</t>
  </si>
  <si>
    <t>#27325d</t>
  </si>
  <si>
    <t>WW24 - GUNMETAL II METALLIC</t>
  </si>
  <si>
    <t>W24</t>
  </si>
  <si>
    <t>GUNMETAL II METALLIC</t>
  </si>
  <si>
    <t>个性化定制炮铜色</t>
  </si>
  <si>
    <t>#3b414a</t>
  </si>
  <si>
    <t>WR71 - MIDNIGHT SAPPHIRE II METALLIC</t>
  </si>
  <si>
    <t>R71</t>
  </si>
  <si>
    <t>MIDNIGHT SAPPHIRE II METALLIC</t>
  </si>
  <si>
    <t>个性化定制午夜宝石蓝</t>
  </si>
  <si>
    <t>#051944</t>
  </si>
  <si>
    <t>WW67 - GOODWOODGRUEN PERLEFFEKT</t>
  </si>
  <si>
    <t>W67</t>
  </si>
  <si>
    <t>GOODWOODGRUEN PERLEFFEKT</t>
  </si>
  <si>
    <t>个性化定制古德伍德珠光绿</t>
  </si>
  <si>
    <t>#193c2e</t>
  </si>
  <si>
    <t>M897 - TURMALIN VIOLET METALLIC</t>
  </si>
  <si>
    <t>897</t>
  </si>
  <si>
    <t>TURMALIN VIOLET METALLIC</t>
  </si>
  <si>
    <t>个性化定制碧玺紫</t>
  </si>
  <si>
    <t>#5b4653</t>
  </si>
  <si>
    <t>YW32 - BLACKBLUE</t>
  </si>
  <si>
    <t>W32</t>
  </si>
  <si>
    <t>BLACKBLUE</t>
  </si>
  <si>
    <t>个性化定制黑蓝色</t>
  </si>
  <si>
    <t>#1c2134</t>
  </si>
  <si>
    <t>WP7U - MAHAGONI II METALLIC</t>
  </si>
  <si>
    <t>P7U</t>
  </si>
  <si>
    <t>MAHAGONI II METALLIC</t>
  </si>
  <si>
    <t>个性化定制桃花心木棕</t>
  </si>
  <si>
    <t>#371517</t>
  </si>
  <si>
    <t>WX03 - RUBY BLACK METALLIC</t>
  </si>
  <si>
    <t>X03</t>
  </si>
  <si>
    <t>RUBY BLACK METALLIC</t>
  </si>
  <si>
    <t>个性化定制红宝石黑</t>
  </si>
  <si>
    <t>#271219</t>
  </si>
  <si>
    <t>WA15 - MALDIVES BLUE II</t>
  </si>
  <si>
    <t>A15</t>
  </si>
  <si>
    <t>MALDIVES BLUE II</t>
  </si>
  <si>
    <t>个性化定制马尔代夫蓝</t>
  </si>
  <si>
    <t>#446c88</t>
  </si>
  <si>
    <t>WP6L - THUNDER METALLIC</t>
  </si>
  <si>
    <t>P6L</t>
  </si>
  <si>
    <t>THUNDER METALLIC</t>
  </si>
  <si>
    <t>个性化定制雷霆黑</t>
  </si>
  <si>
    <t>#626c7a</t>
  </si>
  <si>
    <t>WU86 - NERO FUOCO METALLIC</t>
  </si>
  <si>
    <t>U86</t>
  </si>
  <si>
    <t>NERO FUOCO METALLIC</t>
  </si>
  <si>
    <t>个性化定制墨黑色</t>
  </si>
  <si>
    <t>#232226</t>
  </si>
  <si>
    <t>M250 - MACAO BLUE METALLIC</t>
  </si>
  <si>
    <t>250</t>
  </si>
  <si>
    <t>MACAO BLUE METALLIC</t>
  </si>
  <si>
    <t>个性化定制澳门蓝</t>
  </si>
  <si>
    <t>#323C55</t>
  </si>
  <si>
    <t>YP6H - MODE GREY</t>
  </si>
  <si>
    <t>P6H</t>
  </si>
  <si>
    <t>MODE GREY</t>
  </si>
  <si>
    <t>个性化定制摩登灰</t>
  </si>
  <si>
    <t>#cbcbc4</t>
  </si>
  <si>
    <t>YP60 - GREY BLACK</t>
  </si>
  <si>
    <t>P60</t>
  </si>
  <si>
    <t>GREY BLACK</t>
  </si>
  <si>
    <t>个性化定制灰黑色</t>
  </si>
  <si>
    <t>#414246</t>
  </si>
  <si>
    <t>M276 - AVUS BLUE METALLIC</t>
  </si>
  <si>
    <t>276</t>
  </si>
  <si>
    <t>AVUS BLUE METALLIC</t>
  </si>
  <si>
    <t>个性化定制阿瓦斯蓝</t>
  </si>
  <si>
    <t>#183665</t>
  </si>
  <si>
    <t>M359 - MORA METALLIC</t>
  </si>
  <si>
    <t>359</t>
  </si>
  <si>
    <t>MORA METALLIC</t>
  </si>
  <si>
    <t>个性化定制莫拉紫</t>
  </si>
  <si>
    <t>#381d37</t>
  </si>
  <si>
    <t>U327 - SANTORIN BLUE 2</t>
  </si>
  <si>
    <t>327</t>
  </si>
  <si>
    <t>SANTORIN BLUE 2</t>
  </si>
  <si>
    <t>个性化定制圣托里尼蓝</t>
  </si>
  <si>
    <t>#3b83c0</t>
  </si>
  <si>
    <t>WA32 - SEPANG BRONZE METALLIC</t>
  </si>
  <si>
    <t>A32</t>
  </si>
  <si>
    <t>SEPANG BRONZE METALLIC</t>
  </si>
  <si>
    <t>个性化定制雪邦铜色</t>
  </si>
  <si>
    <t>#766a62</t>
  </si>
  <si>
    <t>M440 - STRATUS METALLIC-WAS CREMA</t>
  </si>
  <si>
    <t>440</t>
  </si>
  <si>
    <t>STRATUS METALLIC-WAS CREMA</t>
  </si>
  <si>
    <t>个性化定制层云灰</t>
  </si>
  <si>
    <t>#767B7F</t>
  </si>
  <si>
    <t>WT09 - WILDBERRY METALLIC</t>
  </si>
  <si>
    <t>T09</t>
  </si>
  <si>
    <t>WILDBERRY METALLIC</t>
  </si>
  <si>
    <t>个性化定制野莓红</t>
  </si>
  <si>
    <t>#711d3a</t>
  </si>
  <si>
    <t>WP78 - BURGUND RED PERLEFFEKT METALLIC</t>
  </si>
  <si>
    <t>P78</t>
  </si>
  <si>
    <t>BURGUND RED PERLEFFEKT METALLIC</t>
  </si>
  <si>
    <t>个性化定制勃艮第红</t>
  </si>
  <si>
    <t>#411623</t>
  </si>
  <si>
    <t>YW97 - MINT GREEN</t>
  </si>
  <si>
    <t>W97</t>
  </si>
  <si>
    <t>MINT GREEN</t>
  </si>
  <si>
    <t>个性化定制薄荷绿</t>
  </si>
  <si>
    <t>#7EC2AD</t>
  </si>
  <si>
    <t>YW87 - PURBLUE</t>
  </si>
  <si>
    <t>W87</t>
  </si>
  <si>
    <t>PURBLUE</t>
  </si>
  <si>
    <t>个性化定制纯蓝色</t>
  </si>
  <si>
    <t>#3186ac</t>
  </si>
  <si>
    <t>WL38 - FAME GREEN II METALLIC</t>
  </si>
  <si>
    <t>L38</t>
  </si>
  <si>
    <t>FAME GREEN II METALLIC</t>
  </si>
  <si>
    <t>个性化定制明翠绿</t>
  </si>
  <si>
    <t>#64AC75</t>
  </si>
  <si>
    <t>WA39 - BARBERA RED METALLIC</t>
  </si>
  <si>
    <t>A39</t>
  </si>
  <si>
    <t>BARBERA RED METALLIC</t>
  </si>
  <si>
    <t>个性化定制巴贝拉红</t>
  </si>
  <si>
    <t>#752830</t>
  </si>
  <si>
    <t>WS10 - MALACHITE GREEN DARK METALL</t>
  </si>
  <si>
    <t>S10</t>
  </si>
  <si>
    <t>MALACHITE GREEN DARK METALL</t>
  </si>
  <si>
    <t>个性化定制孔雀石深绿</t>
  </si>
  <si>
    <t>#1c3640</t>
  </si>
  <si>
    <t>WR20 - MADEIRA RED</t>
  </si>
  <si>
    <t>R20</t>
  </si>
  <si>
    <t>MADEIRA RED</t>
  </si>
  <si>
    <t>个性化定制马德拉红</t>
  </si>
  <si>
    <t>#42161d</t>
  </si>
  <si>
    <t>YT42 - BREWSTER GREEN</t>
  </si>
  <si>
    <t>T42</t>
  </si>
  <si>
    <t>BREWSTER GREEN</t>
  </si>
  <si>
    <t>个性化定制布鲁斯特绿</t>
  </si>
  <si>
    <t>#1d2f2b</t>
  </si>
  <si>
    <t>WA43 - DEEP GREEN METALLIC</t>
  </si>
  <si>
    <t>A43</t>
  </si>
  <si>
    <t>DEEP GREEN METALLIC</t>
  </si>
  <si>
    <t>个性化定制深绿色</t>
  </si>
  <si>
    <t>#21352e</t>
  </si>
  <si>
    <t>YP6F - VIOLET BLUE II</t>
  </si>
  <si>
    <t>P6F</t>
  </si>
  <si>
    <t>VIOLET BLUE II</t>
  </si>
  <si>
    <t>个性化定制紫罗兰蓝</t>
  </si>
  <si>
    <t>#3e7cb4</t>
  </si>
  <si>
    <t>YP6E - VERDE BRITISH RACING</t>
  </si>
  <si>
    <t>P6E</t>
  </si>
  <si>
    <t>VERDE BRITISH RACING</t>
  </si>
  <si>
    <t>个性化定制佛得角英伦赛道绿</t>
  </si>
  <si>
    <t>#23422b</t>
  </si>
  <si>
    <t>YP7L - VOODOO BLUE SOLID</t>
  </si>
  <si>
    <t>P7L</t>
  </si>
  <si>
    <t>VOODOO BLUE SOLID</t>
  </si>
  <si>
    <t>个性化定制巫毒蓝</t>
  </si>
  <si>
    <t>#2998d0</t>
  </si>
  <si>
    <t>YP7G - IRISH GREEN SOLID</t>
  </si>
  <si>
    <t>P7G</t>
  </si>
  <si>
    <t>IRISH GREEN SOLID</t>
  </si>
  <si>
    <t>个性化定制爱尔兰绿</t>
  </si>
  <si>
    <t>#31513e</t>
  </si>
  <si>
    <t>WA22 - SPARKLING GRAPHITE METALLIC</t>
  </si>
  <si>
    <t>A22</t>
  </si>
  <si>
    <t>SPARKLING GRAPHITE METALLIC</t>
  </si>
  <si>
    <t>个性化定制亮石墨色</t>
  </si>
  <si>
    <t>#373c40</t>
  </si>
  <si>
    <t>WB03 - DAMASTred METALLIC</t>
  </si>
  <si>
    <t>B03</t>
  </si>
  <si>
    <t>DAMASTred METALLIC</t>
  </si>
  <si>
    <t>个性化定制锦缎红</t>
  </si>
  <si>
    <t>#3d2124</t>
  </si>
  <si>
    <t>YP7P - MARITIM BLUE SOLID</t>
  </si>
  <si>
    <t>P7P</t>
  </si>
  <si>
    <t>MARITIM BLUE SOLID</t>
  </si>
  <si>
    <t>个性化定制玛丽蒂姆海洋蓝</t>
  </si>
  <si>
    <t>#7a9fd1</t>
  </si>
  <si>
    <t>WS11 - BLUE ONYX METALLIC</t>
  </si>
  <si>
    <t>S11</t>
  </si>
  <si>
    <t>BLUE ONYX METALLIC</t>
  </si>
  <si>
    <t>个性化定制玛瑙蓝</t>
  </si>
  <si>
    <t>#0f2135</t>
  </si>
  <si>
    <t>M266 - LAGOON GRN METALLIC</t>
  </si>
  <si>
    <t>266</t>
  </si>
  <si>
    <t>LAGOON GRN METALLIC</t>
  </si>
  <si>
    <t>个性化定制海湖绿</t>
  </si>
  <si>
    <t>#046B6C</t>
  </si>
  <si>
    <t>WP44 - TRAMONTO BORDEAUX METALLIC</t>
  </si>
  <si>
    <t>P44</t>
  </si>
  <si>
    <t>TRAMONTO BORDEAUX METALLIC</t>
  </si>
  <si>
    <t>个性化定制特拉蒙顿波尔多红</t>
  </si>
  <si>
    <t>#3d2528</t>
  </si>
  <si>
    <t>WB38 - MIDNIGHT BLUE METALLIC</t>
  </si>
  <si>
    <t>B38</t>
  </si>
  <si>
    <t>MIDNIGHT BLUE METALLIC</t>
  </si>
  <si>
    <t>个性化定制午夜蓝</t>
  </si>
  <si>
    <t>#0B2C37</t>
  </si>
  <si>
    <t>YP7Y - SEPIA BROWN II SOLID</t>
  </si>
  <si>
    <t>P7Y</t>
  </si>
  <si>
    <t>SEPIA BROWN II SOLID</t>
  </si>
  <si>
    <t>个性化定制棕褐色</t>
  </si>
  <si>
    <t>#B67F47</t>
  </si>
  <si>
    <t>WP82 - ANTHRACITE III METALLIC</t>
  </si>
  <si>
    <t>P82</t>
  </si>
  <si>
    <t>ANTHRACITE III METALLIC</t>
  </si>
  <si>
    <r>
      <rPr>
        <sz val="11"/>
        <color indexed="8"/>
        <rFont val="Aptos Narrow"/>
      </rPr>
      <t>个性化定制墨灰色</t>
    </r>
    <r>
      <rPr>
        <sz val="11"/>
        <color indexed="59"/>
        <rFont val="等线"/>
      </rPr>
      <t>III</t>
    </r>
  </si>
  <si>
    <t>#3C4049</t>
  </si>
  <si>
    <t>YP81 - STONE GREY SOLID</t>
  </si>
  <si>
    <t>P81</t>
  </si>
  <si>
    <t>STONE GREY SOLID</t>
  </si>
  <si>
    <t>个性化定制石青灰</t>
  </si>
  <si>
    <t>#B8B9AB</t>
  </si>
  <si>
    <t>M303 - COSMOS BLACK METALLIC</t>
  </si>
  <si>
    <t>303</t>
  </si>
  <si>
    <t>COSMOS BLACK METALLIC</t>
  </si>
  <si>
    <t>个性化定制宇宙黑</t>
  </si>
  <si>
    <t>#272939</t>
  </si>
  <si>
    <t>M891 - MOCCA BROWN METALLIC</t>
  </si>
  <si>
    <t>891</t>
  </si>
  <si>
    <t>MOCCA BROWN METALLIC</t>
  </si>
  <si>
    <t>个性化定制摩卡棕</t>
  </si>
  <si>
    <t>#4c3e3a</t>
  </si>
  <si>
    <t>U337 - DAKAR YELLOW II</t>
  </si>
  <si>
    <t>337</t>
  </si>
  <si>
    <t>DAKAR YELLOW II</t>
  </si>
  <si>
    <t>个性化定制达喀尔黄</t>
  </si>
  <si>
    <t>#f5e6ac</t>
  </si>
  <si>
    <t>YP7E - FIRE ORANGE III</t>
  </si>
  <si>
    <t>P7E</t>
  </si>
  <si>
    <t>FIRE ORANGE III</t>
  </si>
  <si>
    <t>个性化定制火橙色</t>
  </si>
  <si>
    <t>#faa604</t>
  </si>
  <si>
    <t>U375 - SCARLET 2</t>
  </si>
  <si>
    <t>375</t>
  </si>
  <si>
    <t>SCARLET 2</t>
  </si>
  <si>
    <t>个性化定制火红色</t>
  </si>
  <si>
    <t>#E63F11</t>
  </si>
  <si>
    <t>U314 - BRIGHT RED</t>
  </si>
  <si>
    <t>314</t>
  </si>
  <si>
    <t>BRIGHT RED</t>
  </si>
  <si>
    <t>个性化定制浅红色</t>
  </si>
  <si>
    <t>#E73615</t>
  </si>
  <si>
    <t>U405 - IMOLA RED 2</t>
  </si>
  <si>
    <t>405</t>
  </si>
  <si>
    <t>IMOLA RED 2</t>
  </si>
  <si>
    <t>个性化定制伊莫拉红</t>
  </si>
  <si>
    <t>#ca2a2e</t>
  </si>
  <si>
    <t>YP7K - ROSSO CORSA SOLID</t>
  </si>
  <si>
    <t>P7K</t>
  </si>
  <si>
    <t>ROSSO CORSA SOLID</t>
  </si>
  <si>
    <t>个性化定制鲜艳红</t>
  </si>
  <si>
    <t>#E53D14</t>
  </si>
  <si>
    <t>YU96 - SPEEDYELLOW</t>
  </si>
  <si>
    <t>U96</t>
  </si>
  <si>
    <t>SPEEDYELLOW</t>
  </si>
  <si>
    <t>个性化定制竞速黄</t>
  </si>
  <si>
    <t>#e8c200</t>
  </si>
  <si>
    <t>YW65 - ST. JAMES RED</t>
  </si>
  <si>
    <t>W65</t>
  </si>
  <si>
    <t>ST. JAMES RED</t>
  </si>
  <si>
    <t>个性化定制圣詹姆斯红</t>
  </si>
  <si>
    <t>#b03028</t>
  </si>
  <si>
    <t>YP5N - VERDE MANTIS UNI</t>
  </si>
  <si>
    <t>P5N</t>
  </si>
  <si>
    <t>VERDE MANTIS UNI</t>
  </si>
  <si>
    <t>个性化定制佛得角绿</t>
  </si>
  <si>
    <t>#9bc35f</t>
  </si>
  <si>
    <t>WL74 - VELVET ORCHID II METALLIC</t>
  </si>
  <si>
    <t>L74</t>
  </si>
  <si>
    <t>VELVET ORCHID II METALLIC</t>
  </si>
  <si>
    <t>个性化定制天鹅绒紫</t>
  </si>
  <si>
    <t>#866c76</t>
  </si>
  <si>
    <t>WP28 - TWILIGHT PURPLE METALLIC</t>
  </si>
  <si>
    <t>P28</t>
  </si>
  <si>
    <t>TWILIGHT PURPLE METALLIC</t>
  </si>
  <si>
    <t>个性化定制暮光紫</t>
  </si>
  <si>
    <t>#452767</t>
  </si>
  <si>
    <t>WP8Y - ATLAS GREY METALLIC</t>
  </si>
  <si>
    <t>P8Y</t>
  </si>
  <si>
    <t>ATLAS GREY METALLIC</t>
  </si>
  <si>
    <t>个性化定制阿特拉斯灰</t>
  </si>
  <si>
    <t>#353437</t>
  </si>
  <si>
    <t>WC1A - SONIC SPEED BLUE METALLIC</t>
  </si>
  <si>
    <t>C1A</t>
  </si>
  <si>
    <t>SONIC SPEED BLUE METALLIC</t>
  </si>
  <si>
    <t>个性化定制超音速蓝</t>
  </si>
  <si>
    <t>#014576</t>
  </si>
  <si>
    <t>WC17 - BRANDS HATCH GREY METALLIC</t>
  </si>
  <si>
    <t>C17</t>
  </si>
  <si>
    <t>BRANDS HATCH GREY METALLIC</t>
  </si>
  <si>
    <t>个性化定制布兰兹哈奇赛道灰</t>
  </si>
  <si>
    <t>#343e49</t>
  </si>
  <si>
    <t>YP9E - BORUSAN TURKISH BLUE</t>
  </si>
  <si>
    <t>P9E</t>
  </si>
  <si>
    <t>BORUSAN TURKISH BLUE</t>
  </si>
  <si>
    <t>个性化定制博鲁桑土耳其蓝</t>
  </si>
  <si>
    <t>#29c4c9</t>
  </si>
  <si>
    <t>U427 - NEON YELLOW</t>
  </si>
  <si>
    <t>427</t>
  </si>
  <si>
    <t>NEON YELLOW</t>
  </si>
  <si>
    <t>个性化定制彩虹黄</t>
  </si>
  <si>
    <t>#CFAD3F</t>
  </si>
  <si>
    <t>U138 - CINABAR</t>
  </si>
  <si>
    <t>138</t>
  </si>
  <si>
    <t>CINABAR</t>
  </si>
  <si>
    <t>个性化定制朱砂红</t>
  </si>
  <si>
    <t>#a2171a</t>
  </si>
  <si>
    <t>WP94 - SINGAPUR GREY II METALLIC</t>
  </si>
  <si>
    <t>P94</t>
  </si>
  <si>
    <t>SINGAPUR GREY II METALLIC</t>
  </si>
  <si>
    <t>个性化定制新加坡灰</t>
  </si>
  <si>
    <t>#2a2d34</t>
  </si>
  <si>
    <t>U071 - AGAVE</t>
  </si>
  <si>
    <t>071</t>
  </si>
  <si>
    <t>AGAVE</t>
  </si>
  <si>
    <t>个性化定制龙舌兰绿</t>
  </si>
  <si>
    <t>#203529</t>
  </si>
  <si>
    <t>WB51 - SAN MARINO BLUE METALLIC</t>
  </si>
  <si>
    <t>B51</t>
  </si>
  <si>
    <t>SAN MARINO BLUE METALLIC</t>
  </si>
  <si>
    <t>个性化定制圣马力诺蓝</t>
  </si>
  <si>
    <t>#000685</t>
  </si>
  <si>
    <t>WC3D - MANHATTAN METALLIC</t>
  </si>
  <si>
    <t>C3D</t>
  </si>
  <si>
    <t>MANHATTAN METALLIC</t>
  </si>
  <si>
    <t>个性化定制曼哈顿灰</t>
  </si>
  <si>
    <t>#564c42</t>
  </si>
  <si>
    <t>WC49 - CITRIN BLACK II METALLIC</t>
  </si>
  <si>
    <t>C49</t>
  </si>
  <si>
    <t>CITRIN BLACK II METALLIC</t>
  </si>
  <si>
    <t>个性化定制黄水晶黑</t>
  </si>
  <si>
    <t>#312d2a</t>
  </si>
  <si>
    <t>WB65 - JATOBA METALLIC</t>
  </si>
  <si>
    <t>B65</t>
  </si>
  <si>
    <t>JATOBA METALLIC</t>
  </si>
  <si>
    <t>个性化定制巴西棕</t>
  </si>
  <si>
    <t>#41322c</t>
  </si>
  <si>
    <t>WC3Y - ENIGMATIC BLACK METALLIC</t>
  </si>
  <si>
    <t>C3Y</t>
  </si>
  <si>
    <t>ENIGMATIC BLACK METALLIC</t>
  </si>
  <si>
    <t>个性化定制神秘金属黑</t>
  </si>
  <si>
    <t>#031b31</t>
  </si>
  <si>
    <t>WP9X - SONOMA GREEN METALLIC</t>
  </si>
  <si>
    <t>P9X</t>
  </si>
  <si>
    <t>SONOMA GREEN METALLIC</t>
  </si>
  <si>
    <t>个性化定制索诺玛绿</t>
  </si>
  <si>
    <t>#516941</t>
  </si>
  <si>
    <t>WP9L - STAR RUBY NEO UNI</t>
  </si>
  <si>
    <t>P9L</t>
  </si>
  <si>
    <t>STAR RUBY NEO UNI</t>
  </si>
  <si>
    <t>个性化定制斯特鲁宾亮红色</t>
  </si>
  <si>
    <t>#922C47</t>
  </si>
  <si>
    <t>WC38 - BARCELONA BLUE METALLIC</t>
  </si>
  <si>
    <t>C38</t>
  </si>
  <si>
    <t>BARCELONA BLUE METALLIC</t>
  </si>
  <si>
    <t>个性化定制巴塞罗那蓝</t>
  </si>
  <si>
    <t>#6687A6</t>
  </si>
  <si>
    <t>WP83 - SAPPHIRE BLUE II METALLIC</t>
  </si>
  <si>
    <t>P83</t>
  </si>
  <si>
    <t>SAPPHIRE BLUE II METALLIC</t>
  </si>
  <si>
    <t>个性化定制宝石蓝</t>
  </si>
  <si>
    <t>#054fa7</t>
  </si>
  <si>
    <t>M287 - MAURITIUS BLUE  METALLIC</t>
  </si>
  <si>
    <t>287</t>
  </si>
  <si>
    <t>MAURITIUS BLUE  METALLIC</t>
  </si>
  <si>
    <t>个性化定制毛里求斯蓝</t>
  </si>
  <si>
    <t>#002e56</t>
  </si>
  <si>
    <t>YP7B - CHALK SOLID</t>
  </si>
  <si>
    <t>P7B</t>
  </si>
  <si>
    <t>CHALK SOLID</t>
  </si>
  <si>
    <t>个性化定制白垩岩灰色</t>
  </si>
  <si>
    <t>#ccccca</t>
  </si>
  <si>
    <t>WP93 - SAKHIR ORANGE III METALLIC</t>
  </si>
  <si>
    <t>P93</t>
  </si>
  <si>
    <t>SAKHIR ORANGE III METALLIC</t>
  </si>
  <si>
    <t>个性化定制萨基尔橙</t>
  </si>
  <si>
    <t>#de4210</t>
  </si>
  <si>
    <t>WA30 - INTERLAGOS BLUE METALLIC</t>
  </si>
  <si>
    <t>A30</t>
  </si>
  <si>
    <t>INTERLAGOS BLUE METALLIC</t>
  </si>
  <si>
    <t>个性化定制英特拉格斯蓝</t>
  </si>
  <si>
    <t>#004693</t>
  </si>
  <si>
    <t>M299 - TECHNO VIOLET METALLIC</t>
  </si>
  <si>
    <t>299</t>
  </si>
  <si>
    <t>TECHNO VIOLET METALLIC</t>
  </si>
  <si>
    <t>个性化定制科技紫</t>
  </si>
  <si>
    <t>#2a1a47</t>
  </si>
  <si>
    <t>YP56 - SIGNAL GREEN</t>
  </si>
  <si>
    <t>P56</t>
  </si>
  <si>
    <t>SIGNAL GREEN</t>
  </si>
  <si>
    <t>个性化定制荧光绿</t>
  </si>
  <si>
    <t>#72bc72</t>
  </si>
  <si>
    <t>YP5C - RIVIERA BLUE UNI</t>
  </si>
  <si>
    <t>P5C</t>
  </si>
  <si>
    <t>RIVIERA BLUE UNI</t>
  </si>
  <si>
    <t>个性化定制海滨蓝</t>
  </si>
  <si>
    <t>#51bae2</t>
  </si>
  <si>
    <t>WC39 - LIME ROCK GREY METALLIC</t>
  </si>
  <si>
    <t>C39</t>
  </si>
  <si>
    <t>LIME ROCK GREY METALLIC</t>
  </si>
  <si>
    <t>个性化定制石灰岩灰</t>
  </si>
  <si>
    <t>#b1b0b3</t>
  </si>
  <si>
    <t>WR94 - DARK EMERALD METALLIC</t>
  </si>
  <si>
    <t>R94</t>
  </si>
  <si>
    <t>DARK EMERALD METALLIC</t>
  </si>
  <si>
    <t>个性化定制深祖母绿</t>
  </si>
  <si>
    <t>#082319</t>
  </si>
  <si>
    <t>WR61 - PURPLE SILK METALLIC</t>
  </si>
  <si>
    <t>R61</t>
  </si>
  <si>
    <t>PURPLE SILK METALLIC</t>
  </si>
  <si>
    <t>个性化定制丝绸紫</t>
  </si>
  <si>
    <t>#633e54</t>
  </si>
  <si>
    <t>WP9A - FROZEN PURPLE METALLIC</t>
  </si>
  <si>
    <t>P9A</t>
  </si>
  <si>
    <t>FROZEN PURPLE METALLIC</t>
  </si>
  <si>
    <t>个性化定制磨砂紫</t>
  </si>
  <si>
    <t>#3B2C3F</t>
  </si>
  <si>
    <t>WP7V - JAVAGREEN II METALLIC</t>
  </si>
  <si>
    <t>P7V</t>
  </si>
  <si>
    <t>JAVAGREEN II METALLIC</t>
  </si>
  <si>
    <t>个性化定制爪哇绿</t>
  </si>
  <si>
    <t>#6ba957</t>
  </si>
  <si>
    <t>WS03 - RUBY RED II</t>
  </si>
  <si>
    <t>S03</t>
  </si>
  <si>
    <t>RUBY RED II</t>
  </si>
  <si>
    <t>个性化定制宝石红</t>
  </si>
  <si>
    <t>#761626</t>
  </si>
  <si>
    <t>WP9C - FROZEN PRECIOSA RED METALLIC</t>
  </si>
  <si>
    <t>P9C</t>
  </si>
  <si>
    <t>FROZEN PRECIOSA RED METALLIC</t>
  </si>
  <si>
    <t>个性化定制磨砂瑰宝红</t>
  </si>
  <si>
    <t>#622129</t>
  </si>
  <si>
    <t>YP9P - URBAN GREEN II UNI</t>
  </si>
  <si>
    <t>P9P</t>
  </si>
  <si>
    <t>URBAN GREEN II UNI</t>
  </si>
  <si>
    <t>个性化定制都市绿</t>
  </si>
  <si>
    <t>#50522e</t>
  </si>
  <si>
    <t>WP9R - ANGLESEY GREEN METALLIC</t>
  </si>
  <si>
    <t>P9R</t>
  </si>
  <si>
    <t>ANGLESEY GREEN METALLIC</t>
  </si>
  <si>
    <t>个性化定制安格尔西赛道绿</t>
  </si>
  <si>
    <t>#37491E</t>
  </si>
  <si>
    <t>WP9M - PETROL MICA METALLIC</t>
  </si>
  <si>
    <t>P9M</t>
  </si>
  <si>
    <t>PETROL MICA METALLIC</t>
  </si>
  <si>
    <t>个性化定制云母蓝</t>
  </si>
  <si>
    <t>#073751</t>
  </si>
  <si>
    <t>WP9N - SEPIA II METALLIC</t>
  </si>
  <si>
    <t>P9N</t>
  </si>
  <si>
    <t>SEPIA II METALLIC</t>
  </si>
  <si>
    <t>个性化定制星谧紫</t>
  </si>
  <si>
    <t>#37405D</t>
  </si>
  <si>
    <t>WP75 - VERDANT GREEN PEARL METALLIC</t>
  </si>
  <si>
    <t>P75</t>
  </si>
  <si>
    <t>VERDANT GREEN PEARL METALLIC</t>
  </si>
  <si>
    <t>个性化定制苍翠绿</t>
  </si>
  <si>
    <t>#1d5a40</t>
  </si>
  <si>
    <t>U448 - LAGUNA SECA BLUE</t>
  </si>
  <si>
    <t>448</t>
  </si>
  <si>
    <t>LAGUNA SECA BLUE</t>
  </si>
  <si>
    <t>个性化定制拉古纳塞卡蓝</t>
  </si>
  <si>
    <t>#03597d</t>
  </si>
  <si>
    <t>YP5W - MIAMI BLUE UNI</t>
  </si>
  <si>
    <t>P5W</t>
  </si>
  <si>
    <t>MIAMI BLUE UNI</t>
  </si>
  <si>
    <t>个性化定制迈阿密蓝</t>
  </si>
  <si>
    <t>#00a9bb</t>
  </si>
  <si>
    <t>YP72 - LIGHT GREEN SOLID</t>
  </si>
  <si>
    <t>P72</t>
  </si>
  <si>
    <t>LIGHT GREEN SOLID</t>
  </si>
  <si>
    <t>个性化定制浅绿色</t>
  </si>
  <si>
    <t>YP9Z - SIGNAL WHITE</t>
  </si>
  <si>
    <t>P9Z</t>
  </si>
  <si>
    <t>SIGNAL WHITE</t>
  </si>
  <si>
    <t>个性化定制信号白</t>
  </si>
  <si>
    <t>#f4f4f4</t>
  </si>
  <si>
    <t>YS0A - SMYRNA GREEN</t>
  </si>
  <si>
    <t>S0A</t>
  </si>
  <si>
    <t>SMYRNA GREEN</t>
  </si>
  <si>
    <t>个性化定制士麦那绿</t>
  </si>
  <si>
    <t>#01524e</t>
  </si>
  <si>
    <t>YB21 - ATACAMA YELLOW</t>
  </si>
  <si>
    <t>B21</t>
  </si>
  <si>
    <t>ATACAMA YELLOW</t>
  </si>
  <si>
    <t>个性化定制阿塔卡玛沙漠黄</t>
  </si>
  <si>
    <t>#f8bd23</t>
  </si>
  <si>
    <t>WB53 - SPARKLING BROWN METALLIC</t>
  </si>
  <si>
    <t>B53</t>
  </si>
  <si>
    <t>SPARKLING BROWN METALLIC</t>
  </si>
  <si>
    <t>个性化定制闪耀棕色</t>
  </si>
  <si>
    <t>#36251c</t>
  </si>
  <si>
    <t>WC3E - BERNINA GREY AMBER EFFECT METALLIC</t>
  </si>
  <si>
    <t>C3E</t>
  </si>
  <si>
    <t>BERNINA GREY AMBER EFFECT METALLIC</t>
  </si>
  <si>
    <t>个性化定制贝尔尼纳琥珀灰</t>
  </si>
  <si>
    <t>#7e8390</t>
  </si>
  <si>
    <t>WR9D - MONTEVERDE</t>
  </si>
  <si>
    <t>R9D</t>
  </si>
  <si>
    <t>MONTEVERDE</t>
  </si>
  <si>
    <t>个性化定制蒙特维多绿</t>
  </si>
  <si>
    <t>#367374</t>
  </si>
  <si>
    <t>WP79 - FROZEN DARK GREY II METALLIC</t>
  </si>
  <si>
    <t>P79</t>
  </si>
  <si>
    <t>FROZEN DARK GREY II METALLIC</t>
  </si>
  <si>
    <t>个性化定制磨砂暗灰色II</t>
  </si>
  <si>
    <t>#565351</t>
  </si>
  <si>
    <t>WP8X - FROZEN BROOKLYN GREY METALLIC</t>
  </si>
  <si>
    <t>P8X</t>
  </si>
  <si>
    <t>FROZEN BROOKLYN GREY METALLIC</t>
  </si>
  <si>
    <t>个性化定制磨砂布鲁克林灰</t>
  </si>
  <si>
    <t>#606463</t>
  </si>
  <si>
    <t>X16</t>
  </si>
  <si>
    <t>FROZEN BRILLIANT WHITE MET.</t>
  </si>
  <si>
    <t xml:space="preserve">个性化定制磨砂晶莹白 </t>
  </si>
  <si>
    <t>#f7f7f3</t>
  </si>
  <si>
    <t>P0475</t>
  </si>
  <si>
    <t>Two-tone BLACK</t>
  </si>
  <si>
    <t>宝石青</t>
  </si>
  <si>
    <t>#1b1d23</t>
  </si>
  <si>
    <t>C4A</t>
  </si>
  <si>
    <t>Two-tone GRAY</t>
  </si>
  <si>
    <t>岩石灰</t>
  </si>
  <si>
    <t>#CFCBC5</t>
  </si>
  <si>
    <t>已删除颜色</t>
  </si>
  <si>
    <t>W93</t>
  </si>
  <si>
    <t>个性化定制磨砂亮白色</t>
  </si>
  <si>
    <t>X1G</t>
  </si>
  <si>
    <t>FROZEN TANZANITE BLUE METALLIC</t>
  </si>
  <si>
    <t>个性化定制磨砂丹泉石蓝</t>
  </si>
  <si>
    <t>#101d47</t>
  </si>
  <si>
    <t>SABI Color</t>
  </si>
  <si>
    <t>C5A</t>
  </si>
  <si>
    <t>FROZEN PURE GREY METALLIC</t>
  </si>
  <si>
    <t>个性化定制磨砂纯灰色</t>
  </si>
  <si>
    <t>Normal Paid</t>
  </si>
  <si>
    <t>X1E</t>
  </si>
  <si>
    <t>FROZEN PORTIMAO BLUE METALLIC</t>
  </si>
  <si>
    <t>个性化定制磨砂波尔蒂芒蓝</t>
  </si>
  <si>
    <t>#283672</t>
  </si>
  <si>
    <t>A75</t>
  </si>
  <si>
    <t>MELBOURNE RED METALLIC</t>
  </si>
  <si>
    <t>个性化定制墨尔本红</t>
  </si>
  <si>
    <t>#de4237</t>
  </si>
  <si>
    <t>C6R</t>
  </si>
  <si>
    <t>FROZEN PORTIMAO BLUE II METALLIC</t>
  </si>
  <si>
    <t>个性化定制磨砂波尔蒂芒蓝II</t>
  </si>
  <si>
    <t>P9F</t>
  </si>
  <si>
    <t>FROZEN PURE RED METALLIC</t>
  </si>
  <si>
    <t>个性化定制磨砂朱红色</t>
  </si>
  <si>
    <t>P9G</t>
  </si>
  <si>
    <t>FROZEN AQUAMARINE METALLIC</t>
  </si>
  <si>
    <t>个性化定制磨砂海蓝宝石</t>
  </si>
</sst>
</file>

<file path=xl/styles.xml><?xml version="1.0" encoding="utf-8"?>
<styleSheet xmlns="http://schemas.openxmlformats.org/spreadsheetml/2006/main">
  <numFmts count="1">
    <numFmt numFmtId="0" formatCode="General"/>
  </numFmts>
  <fonts count="12">
    <font>
      <sz val="11"/>
      <color indexed="8"/>
      <name val="Aptos Narrow"/>
    </font>
    <font>
      <sz val="12"/>
      <color indexed="8"/>
      <name val="Aptos Narrow"/>
    </font>
    <font>
      <sz val="14"/>
      <color indexed="8"/>
      <name val="Aptos Narrow"/>
    </font>
    <font>
      <sz val="12"/>
      <color indexed="8"/>
      <name val="Helvetica Neue"/>
    </font>
    <font>
      <u val="single"/>
      <sz val="12"/>
      <color indexed="11"/>
      <name val="Aptos Narrow"/>
    </font>
    <font>
      <sz val="15"/>
      <color indexed="8"/>
      <name val="Calibri"/>
    </font>
    <font>
      <b val="1"/>
      <sz val="14"/>
      <color indexed="8"/>
      <name val="Aptos Narrow"/>
    </font>
    <font>
      <sz val="18"/>
      <color indexed="8"/>
      <name val="Aptos Narrow"/>
    </font>
    <font>
      <sz val="11"/>
      <color indexed="13"/>
      <name val="Aptos Narrow"/>
    </font>
    <font>
      <sz val="11"/>
      <color indexed="8"/>
      <name val="等线"/>
    </font>
    <font>
      <sz val="11"/>
      <color indexed="59"/>
      <name val="等线"/>
    </font>
    <font>
      <sz val="11"/>
      <color indexed="59"/>
      <name val="Aptos Narrow"/>
    </font>
  </fonts>
  <fills count="16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31"/>
        <bgColor auto="1"/>
      </patternFill>
    </fill>
    <fill>
      <patternFill patternType="solid">
        <fgColor indexed="32"/>
        <bgColor auto="1"/>
      </patternFill>
    </fill>
    <fill>
      <patternFill patternType="solid">
        <fgColor indexed="33"/>
        <bgColor auto="1"/>
      </patternFill>
    </fill>
    <fill>
      <patternFill patternType="solid">
        <fgColor indexed="34"/>
        <bgColor auto="1"/>
      </patternFill>
    </fill>
    <fill>
      <patternFill patternType="solid">
        <fgColor indexed="35"/>
        <bgColor auto="1"/>
      </patternFill>
    </fill>
    <fill>
      <patternFill patternType="solid">
        <fgColor indexed="36"/>
        <bgColor auto="1"/>
      </patternFill>
    </fill>
    <fill>
      <patternFill patternType="solid">
        <fgColor indexed="37"/>
        <bgColor auto="1"/>
      </patternFill>
    </fill>
    <fill>
      <patternFill patternType="solid">
        <fgColor indexed="38"/>
        <bgColor auto="1"/>
      </patternFill>
    </fill>
    <fill>
      <patternFill patternType="solid">
        <fgColor indexed="39"/>
        <bgColor auto="1"/>
      </patternFill>
    </fill>
    <fill>
      <patternFill patternType="solid">
        <fgColor indexed="40"/>
        <bgColor auto="1"/>
      </patternFill>
    </fill>
    <fill>
      <patternFill patternType="solid">
        <fgColor indexed="41"/>
        <bgColor auto="1"/>
      </patternFill>
    </fill>
    <fill>
      <patternFill patternType="solid">
        <fgColor indexed="42"/>
        <bgColor auto="1"/>
      </patternFill>
    </fill>
    <fill>
      <patternFill patternType="solid">
        <fgColor indexed="43"/>
        <bgColor auto="1"/>
      </patternFill>
    </fill>
    <fill>
      <patternFill patternType="solid">
        <fgColor indexed="44"/>
        <bgColor auto="1"/>
      </patternFill>
    </fill>
    <fill>
      <patternFill patternType="solid">
        <fgColor indexed="45"/>
        <bgColor auto="1"/>
      </patternFill>
    </fill>
    <fill>
      <patternFill patternType="solid">
        <fgColor indexed="46"/>
        <bgColor auto="1"/>
      </patternFill>
    </fill>
    <fill>
      <patternFill patternType="solid">
        <fgColor indexed="47"/>
        <bgColor auto="1"/>
      </patternFill>
    </fill>
    <fill>
      <patternFill patternType="solid">
        <fgColor indexed="48"/>
        <bgColor auto="1"/>
      </patternFill>
    </fill>
    <fill>
      <patternFill patternType="solid">
        <fgColor indexed="49"/>
        <bgColor auto="1"/>
      </patternFill>
    </fill>
    <fill>
      <patternFill patternType="solid">
        <fgColor indexed="50"/>
        <bgColor auto="1"/>
      </patternFill>
    </fill>
    <fill>
      <patternFill patternType="solid">
        <fgColor indexed="51"/>
        <bgColor auto="1"/>
      </patternFill>
    </fill>
    <fill>
      <patternFill patternType="solid">
        <fgColor indexed="52"/>
        <bgColor auto="1"/>
      </patternFill>
    </fill>
    <fill>
      <patternFill patternType="solid">
        <fgColor indexed="53"/>
        <bgColor auto="1"/>
      </patternFill>
    </fill>
    <fill>
      <patternFill patternType="solid">
        <fgColor indexed="54"/>
        <bgColor auto="1"/>
      </patternFill>
    </fill>
    <fill>
      <patternFill patternType="solid">
        <fgColor indexed="55"/>
        <bgColor auto="1"/>
      </patternFill>
    </fill>
    <fill>
      <patternFill patternType="solid">
        <fgColor indexed="56"/>
        <bgColor auto="1"/>
      </patternFill>
    </fill>
    <fill>
      <patternFill patternType="solid">
        <fgColor indexed="57"/>
        <bgColor auto="1"/>
      </patternFill>
    </fill>
    <fill>
      <patternFill patternType="solid">
        <fgColor indexed="58"/>
        <bgColor auto="1"/>
      </patternFill>
    </fill>
    <fill>
      <patternFill patternType="solid">
        <fgColor indexed="60"/>
        <bgColor auto="1"/>
      </patternFill>
    </fill>
    <fill>
      <patternFill patternType="solid">
        <fgColor indexed="61"/>
        <bgColor auto="1"/>
      </patternFill>
    </fill>
    <fill>
      <patternFill patternType="solid">
        <fgColor indexed="62"/>
        <bgColor auto="1"/>
      </patternFill>
    </fill>
    <fill>
      <patternFill patternType="solid">
        <fgColor indexed="63"/>
        <bgColor auto="1"/>
      </patternFill>
    </fill>
    <fill>
      <patternFill patternType="solid">
        <fgColor rgb="ff3f4752"/>
        <bgColor auto="1"/>
      </patternFill>
    </fill>
    <fill>
      <patternFill patternType="solid">
        <fgColor rgb="ff482e3c"/>
        <bgColor auto="1"/>
      </patternFill>
    </fill>
    <fill>
      <patternFill patternType="solid">
        <fgColor rgb="ff817f79"/>
        <bgColor auto="1"/>
      </patternFill>
    </fill>
    <fill>
      <patternFill patternType="solid">
        <fgColor rgb="ff154454"/>
        <bgColor auto="1"/>
      </patternFill>
    </fill>
    <fill>
      <patternFill patternType="solid">
        <fgColor rgb="ff004847"/>
        <bgColor auto="1"/>
      </patternFill>
    </fill>
    <fill>
      <patternFill patternType="solid">
        <fgColor rgb="ff015ab4"/>
        <bgColor auto="1"/>
      </patternFill>
    </fill>
    <fill>
      <patternFill patternType="solid">
        <fgColor rgb="ff27325d"/>
        <bgColor auto="1"/>
      </patternFill>
    </fill>
    <fill>
      <patternFill patternType="solid">
        <fgColor rgb="ff3b414a"/>
        <bgColor auto="1"/>
      </patternFill>
    </fill>
    <fill>
      <patternFill patternType="solid">
        <fgColor rgb="ff051944"/>
        <bgColor auto="1"/>
      </patternFill>
    </fill>
    <fill>
      <patternFill patternType="solid">
        <fgColor rgb="ff193c2e"/>
        <bgColor auto="1"/>
      </patternFill>
    </fill>
    <fill>
      <patternFill patternType="solid">
        <fgColor rgb="ff5b4653"/>
        <bgColor auto="1"/>
      </patternFill>
    </fill>
    <fill>
      <patternFill patternType="solid">
        <fgColor rgb="ff1c2134"/>
        <bgColor auto="1"/>
      </patternFill>
    </fill>
    <fill>
      <patternFill patternType="solid">
        <fgColor rgb="ff371517"/>
        <bgColor auto="1"/>
      </patternFill>
    </fill>
    <fill>
      <patternFill patternType="solid">
        <fgColor rgb="ff271219"/>
        <bgColor auto="1"/>
      </patternFill>
    </fill>
    <fill>
      <patternFill patternType="solid">
        <fgColor rgb="ff446c88"/>
        <bgColor auto="1"/>
      </patternFill>
    </fill>
    <fill>
      <patternFill patternType="solid">
        <fgColor rgb="ff626c7a"/>
        <bgColor auto="1"/>
      </patternFill>
    </fill>
    <fill>
      <patternFill patternType="solid">
        <fgColor rgb="ff232226"/>
        <bgColor auto="1"/>
      </patternFill>
    </fill>
    <fill>
      <patternFill patternType="solid">
        <fgColor rgb="ff323c55"/>
        <bgColor auto="1"/>
      </patternFill>
    </fill>
    <fill>
      <patternFill patternType="solid">
        <fgColor rgb="ffcbcbc4"/>
        <bgColor auto="1"/>
      </patternFill>
    </fill>
    <fill>
      <patternFill patternType="solid">
        <fgColor rgb="ff414246"/>
        <bgColor auto="1"/>
      </patternFill>
    </fill>
    <fill>
      <patternFill patternType="solid">
        <fgColor rgb="ff183665"/>
        <bgColor auto="1"/>
      </patternFill>
    </fill>
    <fill>
      <patternFill patternType="solid">
        <fgColor rgb="ff381d37"/>
        <bgColor auto="1"/>
      </patternFill>
    </fill>
    <fill>
      <patternFill patternType="solid">
        <fgColor rgb="ff3b83c0"/>
        <bgColor auto="1"/>
      </patternFill>
    </fill>
    <fill>
      <patternFill patternType="solid">
        <fgColor rgb="ff766a62"/>
        <bgColor auto="1"/>
      </patternFill>
    </fill>
    <fill>
      <patternFill patternType="solid">
        <fgColor rgb="ff767b7f"/>
        <bgColor auto="1"/>
      </patternFill>
    </fill>
    <fill>
      <patternFill patternType="solid">
        <fgColor rgb="ff711d3a"/>
        <bgColor auto="1"/>
      </patternFill>
    </fill>
    <fill>
      <patternFill patternType="solid">
        <fgColor rgb="ff411623"/>
        <bgColor auto="1"/>
      </patternFill>
    </fill>
    <fill>
      <patternFill patternType="solid">
        <fgColor rgb="ff7ec2ad"/>
        <bgColor auto="1"/>
      </patternFill>
    </fill>
    <fill>
      <patternFill patternType="solid">
        <fgColor rgb="ff3186ac"/>
        <bgColor auto="1"/>
      </patternFill>
    </fill>
    <fill>
      <patternFill patternType="solid">
        <fgColor rgb="ff64ac75"/>
        <bgColor auto="1"/>
      </patternFill>
    </fill>
    <fill>
      <patternFill patternType="solid">
        <fgColor rgb="ff752830"/>
        <bgColor auto="1"/>
      </patternFill>
    </fill>
    <fill>
      <patternFill patternType="solid">
        <fgColor rgb="ff1c3640"/>
        <bgColor auto="1"/>
      </patternFill>
    </fill>
    <fill>
      <patternFill patternType="solid">
        <fgColor rgb="ff42161d"/>
        <bgColor auto="1"/>
      </patternFill>
    </fill>
    <fill>
      <patternFill patternType="solid">
        <fgColor rgb="ff1d2f2b"/>
        <bgColor auto="1"/>
      </patternFill>
    </fill>
    <fill>
      <patternFill patternType="solid">
        <fgColor rgb="ff21352e"/>
        <bgColor auto="1"/>
      </patternFill>
    </fill>
    <fill>
      <patternFill patternType="solid">
        <fgColor rgb="ff3e7cb4"/>
        <bgColor auto="1"/>
      </patternFill>
    </fill>
    <fill>
      <patternFill patternType="solid">
        <fgColor rgb="ff23422b"/>
        <bgColor auto="1"/>
      </patternFill>
    </fill>
    <fill>
      <patternFill patternType="solid">
        <fgColor rgb="ff2998d0"/>
        <bgColor auto="1"/>
      </patternFill>
    </fill>
    <fill>
      <patternFill patternType="solid">
        <fgColor rgb="ff31513e"/>
        <bgColor auto="1"/>
      </patternFill>
    </fill>
    <fill>
      <patternFill patternType="solid">
        <fgColor rgb="ff373c40"/>
        <bgColor auto="1"/>
      </patternFill>
    </fill>
    <fill>
      <patternFill patternType="solid">
        <fgColor rgb="ff3d2124"/>
        <bgColor auto="1"/>
      </patternFill>
    </fill>
    <fill>
      <patternFill patternType="solid">
        <fgColor rgb="ff7a9fd1"/>
        <bgColor auto="1"/>
      </patternFill>
    </fill>
    <fill>
      <patternFill patternType="solid">
        <fgColor rgb="ff0f2135"/>
        <bgColor auto="1"/>
      </patternFill>
    </fill>
    <fill>
      <patternFill patternType="solid">
        <fgColor rgb="ff046b6c"/>
        <bgColor auto="1"/>
      </patternFill>
    </fill>
    <fill>
      <patternFill patternType="solid">
        <fgColor rgb="ff3d2528"/>
        <bgColor auto="1"/>
      </patternFill>
    </fill>
    <fill>
      <patternFill patternType="solid">
        <fgColor rgb="ff0b2c37"/>
        <bgColor auto="1"/>
      </patternFill>
    </fill>
    <fill>
      <patternFill patternType="solid">
        <fgColor rgb="ffb67f47"/>
        <bgColor auto="1"/>
      </patternFill>
    </fill>
    <fill>
      <patternFill patternType="solid">
        <fgColor rgb="ff3c4049"/>
        <bgColor auto="1"/>
      </patternFill>
    </fill>
    <fill>
      <patternFill patternType="solid">
        <fgColor rgb="ffb8b9ab"/>
        <bgColor auto="1"/>
      </patternFill>
    </fill>
    <fill>
      <patternFill patternType="solid">
        <fgColor rgb="ff272939"/>
        <bgColor auto="1"/>
      </patternFill>
    </fill>
    <fill>
      <patternFill patternType="solid">
        <fgColor rgb="ff4c3e3a"/>
        <bgColor auto="1"/>
      </patternFill>
    </fill>
    <fill>
      <patternFill patternType="solid">
        <fgColor rgb="fff5e6ac"/>
        <bgColor auto="1"/>
      </patternFill>
    </fill>
    <fill>
      <patternFill patternType="solid">
        <fgColor rgb="fffaa604"/>
        <bgColor auto="1"/>
      </patternFill>
    </fill>
    <fill>
      <patternFill patternType="solid">
        <fgColor rgb="ffe63f11"/>
        <bgColor auto="1"/>
      </patternFill>
    </fill>
    <fill>
      <patternFill patternType="solid">
        <fgColor rgb="ffe73615"/>
        <bgColor auto="1"/>
      </patternFill>
    </fill>
    <fill>
      <patternFill patternType="solid">
        <fgColor rgb="ffca2a2e"/>
        <bgColor auto="1"/>
      </patternFill>
    </fill>
    <fill>
      <patternFill patternType="solid">
        <fgColor rgb="ffe53d14"/>
        <bgColor auto="1"/>
      </patternFill>
    </fill>
    <fill>
      <patternFill patternType="solid">
        <fgColor rgb="ffe8c200"/>
        <bgColor auto="1"/>
      </patternFill>
    </fill>
    <fill>
      <patternFill patternType="solid">
        <fgColor rgb="ffb03028"/>
        <bgColor auto="1"/>
      </patternFill>
    </fill>
    <fill>
      <patternFill patternType="solid">
        <fgColor rgb="ff9bc35f"/>
        <bgColor auto="1"/>
      </patternFill>
    </fill>
    <fill>
      <patternFill patternType="solid">
        <fgColor rgb="ff866c76"/>
        <bgColor auto="1"/>
      </patternFill>
    </fill>
    <fill>
      <patternFill patternType="solid">
        <fgColor rgb="ff452767"/>
        <bgColor auto="1"/>
      </patternFill>
    </fill>
    <fill>
      <patternFill patternType="solid">
        <fgColor rgb="ff353437"/>
        <bgColor auto="1"/>
      </patternFill>
    </fill>
    <fill>
      <patternFill patternType="solid">
        <fgColor rgb="ff014576"/>
        <bgColor auto="1"/>
      </patternFill>
    </fill>
    <fill>
      <patternFill patternType="solid">
        <fgColor rgb="ff343e49"/>
        <bgColor auto="1"/>
      </patternFill>
    </fill>
    <fill>
      <patternFill patternType="solid">
        <fgColor rgb="ff29c4c9"/>
        <bgColor auto="1"/>
      </patternFill>
    </fill>
    <fill>
      <patternFill patternType="solid">
        <fgColor rgb="ffcfad3f"/>
        <bgColor auto="1"/>
      </patternFill>
    </fill>
    <fill>
      <patternFill patternType="solid">
        <fgColor rgb="ffa2171a"/>
        <bgColor auto="1"/>
      </patternFill>
    </fill>
    <fill>
      <patternFill patternType="solid">
        <fgColor rgb="ff2a2d34"/>
        <bgColor auto="1"/>
      </patternFill>
    </fill>
    <fill>
      <patternFill patternType="solid">
        <fgColor rgb="ff203529"/>
        <bgColor auto="1"/>
      </patternFill>
    </fill>
    <fill>
      <patternFill patternType="solid">
        <fgColor rgb="ff000685"/>
        <bgColor auto="1"/>
      </patternFill>
    </fill>
    <fill>
      <patternFill patternType="solid">
        <fgColor rgb="ff564c42"/>
        <bgColor auto="1"/>
      </patternFill>
    </fill>
    <fill>
      <patternFill patternType="solid">
        <fgColor rgb="ff312d2a"/>
        <bgColor auto="1"/>
      </patternFill>
    </fill>
    <fill>
      <patternFill patternType="solid">
        <fgColor rgb="ff41322c"/>
        <bgColor auto="1"/>
      </patternFill>
    </fill>
    <fill>
      <patternFill patternType="solid">
        <fgColor rgb="ff031b31"/>
        <bgColor auto="1"/>
      </patternFill>
    </fill>
    <fill>
      <patternFill patternType="solid">
        <fgColor rgb="ff516941"/>
        <bgColor auto="1"/>
      </patternFill>
    </fill>
    <fill>
      <patternFill patternType="solid">
        <fgColor rgb="ff922c47"/>
        <bgColor auto="1"/>
      </patternFill>
    </fill>
    <fill>
      <patternFill patternType="solid">
        <fgColor rgb="ff6687a6"/>
        <bgColor auto="1"/>
      </patternFill>
    </fill>
    <fill>
      <patternFill patternType="solid">
        <fgColor rgb="ff054fa7"/>
        <bgColor auto="1"/>
      </patternFill>
    </fill>
    <fill>
      <patternFill patternType="solid">
        <fgColor rgb="ff002e56"/>
        <bgColor auto="1"/>
      </patternFill>
    </fill>
    <fill>
      <patternFill patternType="solid">
        <fgColor rgb="ffccccca"/>
        <bgColor auto="1"/>
      </patternFill>
    </fill>
    <fill>
      <patternFill patternType="solid">
        <fgColor rgb="ffde4210"/>
        <bgColor auto="1"/>
      </patternFill>
    </fill>
    <fill>
      <patternFill patternType="solid">
        <fgColor rgb="ff004693"/>
        <bgColor auto="1"/>
      </patternFill>
    </fill>
    <fill>
      <patternFill patternType="solid">
        <fgColor rgb="ff2a1a47"/>
        <bgColor auto="1"/>
      </patternFill>
    </fill>
    <fill>
      <patternFill patternType="solid">
        <fgColor rgb="ff72bc72"/>
        <bgColor auto="1"/>
      </patternFill>
    </fill>
    <fill>
      <patternFill patternType="solid">
        <fgColor rgb="ff51bae2"/>
        <bgColor auto="1"/>
      </patternFill>
    </fill>
    <fill>
      <patternFill patternType="solid">
        <fgColor rgb="ffb1b0b3"/>
        <bgColor auto="1"/>
      </patternFill>
    </fill>
    <fill>
      <patternFill patternType="solid">
        <fgColor rgb="ff082319"/>
        <bgColor auto="1"/>
      </patternFill>
    </fill>
    <fill>
      <patternFill patternType="solid">
        <fgColor rgb="ff633e54"/>
        <bgColor auto="1"/>
      </patternFill>
    </fill>
    <fill>
      <patternFill patternType="solid">
        <fgColor rgb="ff3b2c3f"/>
        <bgColor auto="1"/>
      </patternFill>
    </fill>
    <fill>
      <patternFill patternType="solid">
        <fgColor rgb="ff6ba957"/>
        <bgColor auto="1"/>
      </patternFill>
    </fill>
    <fill>
      <patternFill patternType="solid">
        <fgColor rgb="ff761626"/>
        <bgColor auto="1"/>
      </patternFill>
    </fill>
    <fill>
      <patternFill patternType="solid">
        <fgColor rgb="ff622129"/>
        <bgColor auto="1"/>
      </patternFill>
    </fill>
    <fill>
      <patternFill patternType="solid">
        <fgColor rgb="ff50522e"/>
        <bgColor auto="1"/>
      </patternFill>
    </fill>
    <fill>
      <patternFill patternType="solid">
        <fgColor rgb="ff37491e"/>
        <bgColor auto="1"/>
      </patternFill>
    </fill>
    <fill>
      <patternFill patternType="solid">
        <fgColor rgb="ff073751"/>
        <bgColor auto="1"/>
      </patternFill>
    </fill>
    <fill>
      <patternFill patternType="solid">
        <fgColor rgb="ff37405d"/>
        <bgColor auto="1"/>
      </patternFill>
    </fill>
    <fill>
      <patternFill patternType="solid">
        <fgColor rgb="ff1d5a40"/>
        <bgColor auto="1"/>
      </patternFill>
    </fill>
    <fill>
      <patternFill patternType="solid">
        <fgColor rgb="ff03597d"/>
        <bgColor auto="1"/>
      </patternFill>
    </fill>
    <fill>
      <patternFill patternType="solid">
        <fgColor rgb="ff00a9bb"/>
        <bgColor auto="1"/>
      </patternFill>
    </fill>
    <fill>
      <patternFill patternType="solid">
        <fgColor rgb="fff4f4f4"/>
        <bgColor auto="1"/>
      </patternFill>
    </fill>
    <fill>
      <patternFill patternType="solid">
        <fgColor rgb="ff01524e"/>
        <bgColor auto="1"/>
      </patternFill>
    </fill>
    <fill>
      <patternFill patternType="solid">
        <fgColor rgb="fff8bd23"/>
        <bgColor auto="1"/>
      </patternFill>
    </fill>
    <fill>
      <patternFill patternType="solid">
        <fgColor rgb="ff36251c"/>
        <bgColor auto="1"/>
      </patternFill>
    </fill>
    <fill>
      <patternFill patternType="solid">
        <fgColor rgb="ff7e8390"/>
        <bgColor auto="1"/>
      </patternFill>
    </fill>
    <fill>
      <patternFill patternType="solid">
        <fgColor rgb="ff367374"/>
        <bgColor auto="1"/>
      </patternFill>
    </fill>
    <fill>
      <patternFill patternType="solid">
        <fgColor rgb="ff565351"/>
        <bgColor auto="1"/>
      </patternFill>
    </fill>
    <fill>
      <patternFill patternType="solid">
        <fgColor rgb="ff606463"/>
        <bgColor auto="1"/>
      </patternFill>
    </fill>
    <fill>
      <patternFill patternType="solid">
        <fgColor rgb="fff7f7f3"/>
        <bgColor auto="1"/>
      </patternFill>
    </fill>
    <fill>
      <patternFill patternType="solid">
        <fgColor rgb="ffebd4e9"/>
        <bgColor auto="1"/>
      </patternFill>
    </fill>
    <fill>
      <patternFill patternType="solid">
        <fgColor rgb="ff101d47"/>
        <bgColor auto="1"/>
      </patternFill>
    </fill>
    <fill>
      <patternFill patternType="solid">
        <fgColor rgb="ffd0dfe5"/>
        <bgColor auto="1"/>
      </patternFill>
    </fill>
    <fill>
      <patternFill patternType="solid">
        <fgColor rgb="ff283672"/>
        <bgColor auto="1"/>
      </patternFill>
    </fill>
    <fill>
      <patternFill patternType="solid">
        <fgColor rgb="ffde4237"/>
        <bgColor auto="1"/>
      </patternFill>
    </fill>
  </fills>
  <borders count="24">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14"/>
      </top>
      <bottom style="thin">
        <color indexed="1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14"/>
      </left>
      <right style="thin">
        <color indexed="14"/>
      </right>
      <top style="thin">
        <color indexed="8"/>
      </top>
      <bottom/>
      <diagonal/>
    </border>
    <border>
      <left style="thin">
        <color indexed="14"/>
      </left>
      <right style="thin">
        <color indexed="14"/>
      </right>
      <top style="thin">
        <color indexed="8"/>
      </top>
      <bottom style="thin">
        <color indexed="14"/>
      </bottom>
      <diagonal/>
    </border>
    <border>
      <left style="thin">
        <color indexed="14"/>
      </left>
      <right style="thin">
        <color indexed="8"/>
      </right>
      <top style="thin">
        <color indexed="14"/>
      </top>
      <bottom style="thin">
        <color indexed="14"/>
      </bottom>
      <diagonal/>
    </border>
    <border>
      <left style="thin">
        <color indexed="14"/>
      </left>
      <right/>
      <top/>
      <bottom/>
      <diagonal/>
    </border>
    <border>
      <left/>
      <right/>
      <top/>
      <bottom/>
      <diagonal/>
    </border>
    <border>
      <left/>
      <right style="thin">
        <color indexed="14"/>
      </right>
      <top style="thin">
        <color indexed="14"/>
      </top>
      <bottom style="thin">
        <color indexed="14"/>
      </bottom>
      <diagonal/>
    </border>
    <border>
      <left style="thin">
        <color indexed="14"/>
      </left>
      <right style="thin">
        <color indexed="14"/>
      </right>
      <top/>
      <bottom style="thin">
        <color indexed="14"/>
      </bottom>
      <diagonal/>
    </border>
    <border>
      <left style="thin">
        <color indexed="14"/>
      </left>
      <right style="thin">
        <color indexed="14"/>
      </right>
      <top style="thin">
        <color indexed="14"/>
      </top>
      <bottom style="thin">
        <color indexed="14"/>
      </bottom>
      <diagonal/>
    </border>
    <border>
      <left style="thin">
        <color indexed="8"/>
      </left>
      <right style="thin">
        <color indexed="14"/>
      </right>
      <top style="thin">
        <color indexed="14"/>
      </top>
      <bottom style="thin">
        <color indexed="14"/>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14"/>
      </bottom>
      <diagonal/>
    </border>
    <border>
      <left style="thin">
        <color indexed="8"/>
      </left>
      <right style="thin">
        <color indexed="8"/>
      </right>
      <top style="thin">
        <color indexed="14"/>
      </top>
      <bottom style="thin">
        <color indexed="8"/>
      </bottom>
      <diagonal/>
    </border>
    <border>
      <left style="thin">
        <color indexed="14"/>
      </left>
      <right style="thin">
        <color indexed="14"/>
      </right>
      <top style="thin">
        <color indexed="14"/>
      </top>
      <bottom/>
      <diagonal/>
    </border>
    <border>
      <left/>
      <right style="thin">
        <color indexed="14"/>
      </right>
      <top/>
      <bottom/>
      <diagonal/>
    </border>
    <border>
      <left/>
      <right/>
      <top/>
      <bottom style="thin">
        <color indexed="14"/>
      </bottom>
      <diagonal/>
    </border>
    <border>
      <left/>
      <right style="thin">
        <color indexed="14"/>
      </right>
      <top/>
      <bottom style="thin">
        <color indexed="14"/>
      </bottom>
      <diagonal/>
    </border>
  </borders>
  <cellStyleXfs count="1">
    <xf numFmtId="0" fontId="0" applyNumberFormat="0" applyFont="1" applyFill="0" applyBorder="0" applyAlignment="1" applyProtection="0">
      <alignment vertical="bottom"/>
    </xf>
  </cellStyleXfs>
  <cellXfs count="22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wrapText="1"/>
    </xf>
    <xf numFmtId="0" fontId="7" fillId="5" borderId="2" applyNumberFormat="0" applyFont="1" applyFill="1" applyBorder="1" applyAlignment="1" applyProtection="0">
      <alignment horizontal="center" vertical="center"/>
    </xf>
    <xf numFmtId="49" fontId="6" fillId="4" borderId="3" applyNumberFormat="1" applyFont="1" applyFill="1" applyBorder="1" applyAlignment="1" applyProtection="0">
      <alignment horizontal="center" vertical="center" wrapText="1"/>
    </xf>
    <xf numFmtId="0" fontId="6" fillId="4" borderId="4" applyNumberFormat="0" applyFont="1" applyFill="1" applyBorder="1" applyAlignment="1" applyProtection="0">
      <alignment horizontal="center" vertical="center" wrapText="1"/>
    </xf>
    <xf numFmtId="49" fontId="6" fillId="6" borderId="3" applyNumberFormat="1" applyFont="1" applyFill="1" applyBorder="1" applyAlignment="1" applyProtection="0">
      <alignment horizontal="center" vertical="center" wrapText="1"/>
    </xf>
    <xf numFmtId="0" fontId="6" fillId="6" borderId="4" applyNumberFormat="0" applyFont="1" applyFill="1" applyBorder="1" applyAlignment="1" applyProtection="0">
      <alignment horizontal="center" vertical="center" wrapText="1"/>
    </xf>
    <xf numFmtId="0" fontId="6" fillId="6" borderId="5" applyNumberFormat="0" applyFont="1" applyFill="1" applyBorder="1" applyAlignment="1" applyProtection="0">
      <alignment horizontal="center" vertical="center" wrapText="1"/>
    </xf>
    <xf numFmtId="0" fontId="7" fillId="5" borderId="6" applyNumberFormat="1" applyFont="1" applyFill="1" applyBorder="1" applyAlignment="1" applyProtection="0">
      <alignment horizontal="center" vertical="center"/>
    </xf>
    <xf numFmtId="0" fontId="7" fillId="5" borderId="7" applyNumberFormat="1" applyFont="1" applyFill="1" applyBorder="1" applyAlignment="1" applyProtection="0">
      <alignment horizontal="center" vertical="center"/>
    </xf>
    <xf numFmtId="0" fontId="7" fillId="5" borderId="8" applyNumberFormat="0" applyFont="1" applyFill="1" applyBorder="1" applyAlignment="1" applyProtection="0">
      <alignment horizontal="center" vertical="center"/>
    </xf>
    <xf numFmtId="0" fontId="7" fillId="5" borderId="1" applyNumberFormat="1" applyFont="1" applyFill="1" applyBorder="1" applyAlignment="1" applyProtection="0">
      <alignment horizontal="center" vertical="center"/>
    </xf>
    <xf numFmtId="49" fontId="6" fillId="7" borderId="1" applyNumberFormat="1" applyFont="1" applyFill="1" applyBorder="1" applyAlignment="1" applyProtection="0">
      <alignment horizontal="center" vertical="center" wrapText="1"/>
    </xf>
    <xf numFmtId="49" fontId="6" fillId="8" borderId="1" applyNumberFormat="1" applyFont="1" applyFill="1" applyBorder="1" applyAlignment="1" applyProtection="0">
      <alignment horizontal="center" vertical="center" wrapText="1"/>
    </xf>
    <xf numFmtId="49" fontId="6" fillId="6" borderId="1" applyNumberFormat="1" applyFont="1" applyFill="1" applyBorder="1" applyAlignment="1" applyProtection="0">
      <alignment horizontal="center" vertical="center" wrapText="1"/>
    </xf>
    <xf numFmtId="49" fontId="6" fillId="9" borderId="9" applyNumberFormat="1" applyFont="1" applyFill="1" applyBorder="1" applyAlignment="1" applyProtection="0">
      <alignment horizontal="center" vertical="center" wrapText="1"/>
    </xf>
    <xf numFmtId="49" fontId="6" fillId="9" borderId="10" applyNumberFormat="1" applyFont="1" applyFill="1" applyBorder="1" applyAlignment="1" applyProtection="0">
      <alignment horizontal="center" vertical="center" wrapText="1"/>
    </xf>
    <xf numFmtId="0" fontId="0" borderId="11"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7" fillId="5" borderId="12" applyNumberFormat="1" applyFont="1" applyFill="1" applyBorder="1" applyAlignment="1" applyProtection="0">
      <alignment horizontal="center" vertical="center"/>
    </xf>
    <xf numFmtId="0" fontId="0" borderId="13" applyNumberFormat="0" applyFont="1" applyFill="0" applyBorder="1" applyAlignment="1" applyProtection="0">
      <alignment vertical="bottom"/>
    </xf>
    <xf numFmtId="0" fontId="7" fillId="5" borderId="13"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49" fontId="8" fillId="10" borderId="1" applyNumberFormat="1" applyFont="1" applyFill="1" applyBorder="1" applyAlignment="1" applyProtection="0">
      <alignment vertical="bottom"/>
    </xf>
    <xf numFmtId="49" fontId="8" fillId="10" borderId="1" applyNumberFormat="1" applyFont="1" applyFill="1" applyBorder="1" applyAlignment="1" applyProtection="0">
      <alignment horizontal="center" vertical="center"/>
    </xf>
    <xf numFmtId="49" fontId="8" fillId="10" borderId="1" applyNumberFormat="1" applyFont="1" applyFill="1" applyBorder="1" applyAlignment="1" applyProtection="0">
      <alignment horizontal="center" vertical="bottom"/>
    </xf>
    <xf numFmtId="0" fontId="0" borderId="14" applyNumberFormat="0" applyFont="1" applyFill="0" applyBorder="1" applyAlignment="1" applyProtection="0">
      <alignment vertical="bottom"/>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49" fontId="0" fillId="5" borderId="1" applyNumberFormat="1" applyFont="1" applyFill="1" applyBorder="1" applyAlignment="1" applyProtection="0">
      <alignment vertical="center"/>
    </xf>
    <xf numFmtId="49" fontId="0" fillId="11" borderId="15" applyNumberFormat="1" applyFont="1" applyFill="1" applyBorder="1" applyAlignment="1" applyProtection="0">
      <alignment vertical="bottom"/>
    </xf>
    <xf numFmtId="49" fontId="0" fillId="5" borderId="1" applyNumberFormat="1" applyFont="1" applyFill="1" applyBorder="1" applyAlignment="1" applyProtection="0">
      <alignment vertical="bottom"/>
    </xf>
    <xf numFmtId="49" fontId="0" borderId="1" applyNumberFormat="1" applyFont="1" applyFill="0" applyBorder="1" applyAlignment="1" applyProtection="0">
      <alignment horizontal="center" vertical="bottom"/>
    </xf>
    <xf numFmtId="49" fontId="0" borderId="14" applyNumberFormat="1" applyFont="1" applyFill="0" applyBorder="1" applyAlignment="1" applyProtection="0">
      <alignment horizontal="center" vertical="bottom"/>
    </xf>
    <xf numFmtId="49" fontId="0" fillId="12" borderId="16" applyNumberFormat="1" applyFont="1" applyFill="1" applyBorder="1" applyAlignment="1" applyProtection="0">
      <alignment vertical="bottom"/>
    </xf>
    <xf numFmtId="49" fontId="0" fillId="13" borderId="16" applyNumberFormat="1" applyFont="1" applyFill="1" applyBorder="1" applyAlignment="1" applyProtection="0">
      <alignment vertical="bottom"/>
    </xf>
    <xf numFmtId="49" fontId="0" fillId="14" borderId="16" applyNumberFormat="1" applyFont="1" applyFill="1" applyBorder="1" applyAlignment="1" applyProtection="0">
      <alignment vertical="bottom"/>
    </xf>
    <xf numFmtId="49" fontId="0" fillId="4" borderId="1" applyNumberFormat="1" applyFont="1" applyFill="1" applyBorder="1" applyAlignment="1" applyProtection="0">
      <alignment horizontal="center" vertical="bottom"/>
    </xf>
    <xf numFmtId="49" fontId="0" fillId="15" borderId="16" applyNumberFormat="1" applyFont="1" applyFill="1" applyBorder="1" applyAlignment="1" applyProtection="0">
      <alignment vertical="bottom"/>
    </xf>
    <xf numFmtId="49" fontId="0" fillId="16" borderId="16" applyNumberFormat="1" applyFont="1" applyFill="1" applyBorder="1" applyAlignment="1" applyProtection="0">
      <alignment vertical="bottom"/>
    </xf>
    <xf numFmtId="49" fontId="0" fillId="17" borderId="16" applyNumberFormat="1" applyFont="1" applyFill="1" applyBorder="1" applyAlignment="1" applyProtection="0">
      <alignment vertical="bottom"/>
    </xf>
    <xf numFmtId="49" fontId="0" fillId="18" borderId="16" applyNumberFormat="1" applyFont="1" applyFill="1" applyBorder="1" applyAlignment="1" applyProtection="0">
      <alignment vertical="bottom"/>
    </xf>
    <xf numFmtId="49" fontId="0" fillId="19" borderId="16" applyNumberFormat="1" applyFont="1" applyFill="1" applyBorder="1" applyAlignment="1" applyProtection="0">
      <alignment vertical="bottom"/>
    </xf>
    <xf numFmtId="49" fontId="0" fillId="20" borderId="16" applyNumberFormat="1" applyFont="1" applyFill="1" applyBorder="1" applyAlignment="1" applyProtection="0">
      <alignment vertical="bottom"/>
    </xf>
    <xf numFmtId="49" fontId="0" fillId="21" borderId="16" applyNumberFormat="1" applyFont="1" applyFill="1" applyBorder="1" applyAlignment="1" applyProtection="0">
      <alignment vertical="bottom"/>
    </xf>
    <xf numFmtId="49" fontId="0" fillId="22" borderId="16" applyNumberFormat="1" applyFont="1" applyFill="1" applyBorder="1" applyAlignment="1" applyProtection="0">
      <alignment vertical="bottom"/>
    </xf>
    <xf numFmtId="49" fontId="0" fillId="23" borderId="16" applyNumberFormat="1" applyFont="1" applyFill="1" applyBorder="1" applyAlignment="1" applyProtection="0">
      <alignment vertical="bottom"/>
    </xf>
    <xf numFmtId="49" fontId="0" fillId="24" borderId="16" applyNumberFormat="1" applyFont="1" applyFill="1" applyBorder="1" applyAlignment="1" applyProtection="0">
      <alignment vertical="bottom"/>
    </xf>
    <xf numFmtId="49" fontId="0" fillId="25" borderId="16" applyNumberFormat="1" applyFont="1" applyFill="1" applyBorder="1" applyAlignment="1" applyProtection="0">
      <alignment vertical="bottom"/>
    </xf>
    <xf numFmtId="49" fontId="0" fillId="26" borderId="17" applyNumberFormat="1" applyFont="1" applyFill="1" applyBorder="1" applyAlignment="1" applyProtection="0">
      <alignment vertical="bottom"/>
    </xf>
    <xf numFmtId="49" fontId="0" fillId="27" borderId="1" applyNumberFormat="1" applyFont="1" applyFill="1" applyBorder="1" applyAlignment="1" applyProtection="0">
      <alignment vertical="bottom"/>
    </xf>
    <xf numFmtId="49" fontId="0" fillId="28" borderId="15" applyNumberFormat="1" applyFont="1" applyFill="1" applyBorder="1" applyAlignment="1" applyProtection="0">
      <alignment vertical="bottom"/>
    </xf>
    <xf numFmtId="49" fontId="0" fillId="29" borderId="16" applyNumberFormat="1" applyFont="1" applyFill="1" applyBorder="1" applyAlignment="1" applyProtection="0">
      <alignment vertical="bottom"/>
    </xf>
    <xf numFmtId="49" fontId="0" fillId="30" borderId="16" applyNumberFormat="1" applyFont="1" applyFill="1" applyBorder="1" applyAlignment="1" applyProtection="0">
      <alignment vertical="bottom"/>
    </xf>
    <xf numFmtId="49" fontId="0" fillId="31" borderId="16" applyNumberFormat="1" applyFont="1" applyFill="1" applyBorder="1" applyAlignment="1" applyProtection="0">
      <alignment vertical="bottom"/>
    </xf>
    <xf numFmtId="49" fontId="0" fillId="32" borderId="16" applyNumberFormat="1" applyFont="1" applyFill="1" applyBorder="1" applyAlignment="1" applyProtection="0">
      <alignment vertical="bottom"/>
    </xf>
    <xf numFmtId="49" fontId="0" fillId="33" borderId="16" applyNumberFormat="1" applyFont="1" applyFill="1" applyBorder="1" applyAlignment="1" applyProtection="0">
      <alignment vertical="bottom"/>
    </xf>
    <xf numFmtId="49" fontId="0" fillId="34" borderId="16" applyNumberFormat="1" applyFont="1" applyFill="1" applyBorder="1" applyAlignment="1" applyProtection="0">
      <alignment vertical="bottom"/>
    </xf>
    <xf numFmtId="49" fontId="0" fillId="35" borderId="16" applyNumberFormat="1" applyFont="1" applyFill="1" applyBorder="1" applyAlignment="1" applyProtection="0">
      <alignment vertical="bottom"/>
    </xf>
    <xf numFmtId="49" fontId="0" fillId="36" borderId="16" applyNumberFormat="1" applyFont="1" applyFill="1" applyBorder="1" applyAlignment="1" applyProtection="0">
      <alignment vertical="bottom"/>
    </xf>
    <xf numFmtId="49" fontId="0" fillId="37" borderId="16" applyNumberFormat="1" applyFont="1" applyFill="1" applyBorder="1" applyAlignment="1" applyProtection="0">
      <alignment vertical="bottom"/>
    </xf>
    <xf numFmtId="49" fontId="0" fillId="38" borderId="16" applyNumberFormat="1" applyFont="1" applyFill="1" applyBorder="1" applyAlignment="1" applyProtection="0">
      <alignment vertical="bottom"/>
    </xf>
    <xf numFmtId="49" fontId="0" fillId="39" borderId="16" applyNumberFormat="1" applyFont="1" applyFill="1" applyBorder="1" applyAlignment="1" applyProtection="0">
      <alignment vertical="bottom"/>
    </xf>
    <xf numFmtId="49" fontId="0" fillId="40" borderId="16" applyNumberFormat="1" applyFont="1" applyFill="1" applyBorder="1" applyAlignment="1" applyProtection="0">
      <alignment vertical="bottom"/>
    </xf>
    <xf numFmtId="49" fontId="0" fillId="41" borderId="16" applyNumberFormat="1" applyFont="1" applyFill="1" applyBorder="1" applyAlignment="1" applyProtection="0">
      <alignment vertical="bottom"/>
    </xf>
    <xf numFmtId="49" fontId="0" fillId="42" borderId="16" applyNumberFormat="1" applyFont="1" applyFill="1" applyBorder="1" applyAlignment="1" applyProtection="0">
      <alignment vertical="bottom"/>
    </xf>
    <xf numFmtId="49" fontId="0" fillId="43" borderId="16" applyNumberFormat="1" applyFont="1" applyFill="1" applyBorder="1" applyAlignment="1" applyProtection="0">
      <alignment vertical="bottom"/>
    </xf>
    <xf numFmtId="49" fontId="0" fillId="44" borderId="16" applyNumberFormat="1" applyFont="1" applyFill="1" applyBorder="1" applyAlignment="1" applyProtection="0">
      <alignment vertical="bottom"/>
    </xf>
    <xf numFmtId="49" fontId="0" fillId="45" borderId="16" applyNumberFormat="1" applyFont="1" applyFill="1" applyBorder="1" applyAlignment="1" applyProtection="0">
      <alignment vertical="bottom"/>
    </xf>
    <xf numFmtId="49" fontId="0" fillId="46" borderId="16" applyNumberFormat="1" applyFont="1" applyFill="1" applyBorder="1" applyAlignment="1" applyProtection="0">
      <alignment vertical="bottom"/>
    </xf>
    <xf numFmtId="49" fontId="0" fillId="47" borderId="16" applyNumberFormat="1" applyFont="1" applyFill="1" applyBorder="1" applyAlignment="1" applyProtection="0">
      <alignment vertical="bottom"/>
    </xf>
    <xf numFmtId="49" fontId="0" fillId="48" borderId="16" applyNumberFormat="1" applyFont="1" applyFill="1" applyBorder="1" applyAlignment="1" applyProtection="0">
      <alignment vertical="bottom"/>
    </xf>
    <xf numFmtId="49" fontId="0" fillId="49" borderId="16" applyNumberFormat="1" applyFont="1" applyFill="1" applyBorder="1" applyAlignment="1" applyProtection="0">
      <alignment vertical="bottom"/>
    </xf>
    <xf numFmtId="49" fontId="0" fillId="50" borderId="16" applyNumberFormat="1" applyFont="1" applyFill="1" applyBorder="1" applyAlignment="1" applyProtection="0">
      <alignment vertical="bottom"/>
    </xf>
    <xf numFmtId="49" fontId="0" fillId="51" borderId="16" applyNumberFormat="1" applyFont="1" applyFill="1" applyBorder="1" applyAlignment="1" applyProtection="0">
      <alignment vertical="bottom"/>
    </xf>
    <xf numFmtId="49" fontId="0" fillId="52" borderId="16" applyNumberFormat="1" applyFont="1" applyFill="1" applyBorder="1" applyAlignment="1" applyProtection="0">
      <alignment vertical="bottom"/>
    </xf>
    <xf numFmtId="49" fontId="0" fillId="53" borderId="17" applyNumberFormat="1" applyFont="1" applyFill="1" applyBorder="1" applyAlignment="1" applyProtection="0">
      <alignment vertical="bottom"/>
    </xf>
    <xf numFmtId="49" fontId="0" fillId="5" borderId="18" applyNumberFormat="1" applyFont="1" applyFill="1" applyBorder="1" applyAlignment="1" applyProtection="0">
      <alignment vertical="center"/>
    </xf>
    <xf numFmtId="49" fontId="0" fillId="54" borderId="1" applyNumberFormat="1" applyFont="1" applyFill="1" applyBorder="1" applyAlignment="1" applyProtection="0">
      <alignment vertical="bottom"/>
    </xf>
    <xf numFmtId="49" fontId="0" fillId="5" borderId="19" applyNumberFormat="1" applyFont="1" applyFill="1" applyBorder="1" applyAlignment="1" applyProtection="0">
      <alignment vertical="center"/>
    </xf>
    <xf numFmtId="49" fontId="0" fillId="55" borderId="15" applyNumberFormat="1" applyFont="1" applyFill="1" applyBorder="1" applyAlignment="1" applyProtection="0">
      <alignment vertical="bottom"/>
    </xf>
    <xf numFmtId="49" fontId="0" fillId="56" borderId="17" applyNumberFormat="1" applyFont="1" applyFill="1" applyBorder="1" applyAlignment="1" applyProtection="0">
      <alignment vertical="bottom"/>
    </xf>
    <xf numFmtId="49" fontId="0" fillId="57" borderId="1" applyNumberFormat="1" applyFont="1" applyFill="1" applyBorder="1" applyAlignment="1" applyProtection="0">
      <alignment vertical="bottom"/>
    </xf>
    <xf numFmtId="49" fontId="0" fillId="58" borderId="15" applyNumberFormat="1" applyFont="1" applyFill="1" applyBorder="1" applyAlignment="1" applyProtection="0">
      <alignment vertical="bottom"/>
    </xf>
    <xf numFmtId="49" fontId="0" fillId="59" borderId="16" applyNumberFormat="1" applyFont="1" applyFill="1" applyBorder="1" applyAlignment="1" applyProtection="0">
      <alignment vertical="bottom"/>
    </xf>
    <xf numFmtId="49" fontId="0" fillId="60" borderId="16" applyNumberFormat="1" applyFont="1" applyFill="1" applyBorder="1" applyAlignment="1" applyProtection="0">
      <alignment vertical="bottom"/>
    </xf>
    <xf numFmtId="49" fontId="0" fillId="61" borderId="16" applyNumberFormat="1" applyFont="1" applyFill="1" applyBorder="1" applyAlignment="1" applyProtection="0">
      <alignment vertical="bottom"/>
    </xf>
    <xf numFmtId="49" fontId="0" fillId="62" borderId="16" applyNumberFormat="1" applyFont="1" applyFill="1" applyBorder="1" applyAlignment="1" applyProtection="0">
      <alignment vertical="bottom"/>
    </xf>
    <xf numFmtId="49" fontId="0" fillId="63" borderId="16" applyNumberFormat="1" applyFont="1" applyFill="1" applyBorder="1" applyAlignment="1" applyProtection="0">
      <alignment vertical="bottom"/>
    </xf>
    <xf numFmtId="49" fontId="0" fillId="64" borderId="16" applyNumberFormat="1" applyFont="1" applyFill="1" applyBorder="1" applyAlignment="1" applyProtection="0">
      <alignment vertical="bottom"/>
    </xf>
    <xf numFmtId="49" fontId="0" fillId="65" borderId="16" applyNumberFormat="1" applyFont="1" applyFill="1" applyBorder="1" applyAlignment="1" applyProtection="0">
      <alignment vertical="bottom"/>
    </xf>
    <xf numFmtId="49" fontId="0" fillId="66" borderId="16" applyNumberFormat="1" applyFont="1" applyFill="1" applyBorder="1" applyAlignment="1" applyProtection="0">
      <alignment vertical="bottom"/>
    </xf>
    <xf numFmtId="49" fontId="11" fillId="5" borderId="1" applyNumberFormat="1" applyFont="1" applyFill="1" applyBorder="1" applyAlignment="1" applyProtection="0">
      <alignment horizontal="center" vertical="center"/>
    </xf>
    <xf numFmtId="49" fontId="0" fillId="67" borderId="16" applyNumberFormat="1" applyFont="1" applyFill="1" applyBorder="1" applyAlignment="1" applyProtection="0">
      <alignment vertical="bottom"/>
    </xf>
    <xf numFmtId="49" fontId="0" fillId="68" borderId="16" applyNumberFormat="1" applyFont="1" applyFill="1" applyBorder="1" applyAlignment="1" applyProtection="0">
      <alignment vertical="bottom"/>
    </xf>
    <xf numFmtId="49" fontId="0" fillId="69" borderId="16" applyNumberFormat="1" applyFont="1" applyFill="1" applyBorder="1" applyAlignment="1" applyProtection="0">
      <alignment vertical="bottom"/>
    </xf>
    <xf numFmtId="49" fontId="0" fillId="70" borderId="16" applyNumberFormat="1" applyFont="1" applyFill="1" applyBorder="1" applyAlignment="1" applyProtection="0">
      <alignment vertical="bottom"/>
    </xf>
    <xf numFmtId="49" fontId="0" fillId="71" borderId="16" applyNumberFormat="1" applyFont="1" applyFill="1" applyBorder="1" applyAlignment="1" applyProtection="0">
      <alignment vertical="bottom"/>
    </xf>
    <xf numFmtId="49" fontId="0" fillId="72" borderId="16" applyNumberFormat="1" applyFont="1" applyFill="1" applyBorder="1" applyAlignment="1" applyProtection="0">
      <alignment vertical="bottom"/>
    </xf>
    <xf numFmtId="49" fontId="0" fillId="73" borderId="16" applyNumberFormat="1" applyFont="1" applyFill="1" applyBorder="1" applyAlignment="1" applyProtection="0">
      <alignment vertical="bottom"/>
    </xf>
    <xf numFmtId="49" fontId="0" fillId="74" borderId="16" applyNumberFormat="1" applyFont="1" applyFill="1" applyBorder="1" applyAlignment="1" applyProtection="0">
      <alignment vertical="bottom"/>
    </xf>
    <xf numFmtId="49" fontId="0" fillId="75" borderId="17" applyNumberFormat="1" applyFont="1" applyFill="1" applyBorder="1" applyAlignment="1" applyProtection="0">
      <alignment vertical="bottom"/>
    </xf>
    <xf numFmtId="49" fontId="0" fillId="76" borderId="1" applyNumberFormat="1" applyFont="1" applyFill="1" applyBorder="1" applyAlignment="1" applyProtection="0">
      <alignment vertical="bottom"/>
    </xf>
    <xf numFmtId="49" fontId="0" fillId="77" borderId="15" applyNumberFormat="1" applyFont="1" applyFill="1" applyBorder="1" applyAlignment="1" applyProtection="0">
      <alignment vertical="bottom"/>
    </xf>
    <xf numFmtId="49" fontId="0" fillId="78" borderId="16" applyNumberFormat="1" applyFont="1" applyFill="1" applyBorder="1" applyAlignment="1" applyProtection="0">
      <alignment vertical="bottom"/>
    </xf>
    <xf numFmtId="49" fontId="0" fillId="79" borderId="16" applyNumberFormat="1" applyFont="1" applyFill="1" applyBorder="1" applyAlignment="1" applyProtection="0">
      <alignment vertical="bottom"/>
    </xf>
    <xf numFmtId="49" fontId="0" fillId="80" borderId="16" applyNumberFormat="1" applyFont="1" applyFill="1" applyBorder="1" applyAlignment="1" applyProtection="0">
      <alignment vertical="bottom"/>
    </xf>
    <xf numFmtId="49" fontId="0" fillId="81" borderId="16" applyNumberFormat="1" applyFont="1" applyFill="1" applyBorder="1" applyAlignment="1" applyProtection="0">
      <alignment vertical="bottom"/>
    </xf>
    <xf numFmtId="49" fontId="0" fillId="82" borderId="16" applyNumberFormat="1" applyFont="1" applyFill="1" applyBorder="1" applyAlignment="1" applyProtection="0">
      <alignment vertical="bottom"/>
    </xf>
    <xf numFmtId="49" fontId="0" fillId="83" borderId="16" applyNumberFormat="1" applyFont="1" applyFill="1" applyBorder="1" applyAlignment="1" applyProtection="0">
      <alignment vertical="bottom"/>
    </xf>
    <xf numFmtId="49" fontId="0" fillId="84" borderId="16" applyNumberFormat="1" applyFont="1" applyFill="1" applyBorder="1" applyAlignment="1" applyProtection="0">
      <alignment vertical="bottom"/>
    </xf>
    <xf numFmtId="49" fontId="0" fillId="85" borderId="16" applyNumberFormat="1" applyFont="1" applyFill="1" applyBorder="1" applyAlignment="1" applyProtection="0">
      <alignment vertical="bottom"/>
    </xf>
    <xf numFmtId="49" fontId="0" fillId="86" borderId="16" applyNumberFormat="1" applyFont="1" applyFill="1" applyBorder="1" applyAlignment="1" applyProtection="0">
      <alignment vertical="bottom"/>
    </xf>
    <xf numFmtId="49" fontId="0" fillId="87" borderId="16" applyNumberFormat="1" applyFont="1" applyFill="1" applyBorder="1" applyAlignment="1" applyProtection="0">
      <alignment vertical="bottom"/>
    </xf>
    <xf numFmtId="49" fontId="0" fillId="88" borderId="16" applyNumberFormat="1" applyFont="1" applyFill="1" applyBorder="1" applyAlignment="1" applyProtection="0">
      <alignment vertical="bottom"/>
    </xf>
    <xf numFmtId="49" fontId="0" fillId="89" borderId="16" applyNumberFormat="1" applyFont="1" applyFill="1" applyBorder="1" applyAlignment="1" applyProtection="0">
      <alignment vertical="bottom"/>
    </xf>
    <xf numFmtId="49" fontId="0" fillId="90" borderId="16" applyNumberFormat="1" applyFont="1" applyFill="1" applyBorder="1" applyAlignment="1" applyProtection="0">
      <alignment vertical="bottom"/>
    </xf>
    <xf numFmtId="49" fontId="0" fillId="91" borderId="16" applyNumberFormat="1" applyFont="1" applyFill="1" applyBorder="1" applyAlignment="1" applyProtection="0">
      <alignment vertical="bottom"/>
    </xf>
    <xf numFmtId="49" fontId="0" fillId="92" borderId="16" applyNumberFormat="1" applyFont="1" applyFill="1" applyBorder="1" applyAlignment="1" applyProtection="0">
      <alignment vertical="bottom"/>
    </xf>
    <xf numFmtId="49" fontId="0" fillId="93" borderId="16" applyNumberFormat="1" applyFont="1" applyFill="1" applyBorder="1" applyAlignment="1" applyProtection="0">
      <alignment vertical="bottom"/>
    </xf>
    <xf numFmtId="49" fontId="0" fillId="94" borderId="16" applyNumberFormat="1" applyFont="1" applyFill="1" applyBorder="1" applyAlignment="1" applyProtection="0">
      <alignment vertical="bottom"/>
    </xf>
    <xf numFmtId="49" fontId="0" fillId="95" borderId="16" applyNumberFormat="1" applyFont="1" applyFill="1" applyBorder="1" applyAlignment="1" applyProtection="0">
      <alignment vertical="bottom"/>
    </xf>
    <xf numFmtId="49" fontId="0" fillId="96" borderId="16" applyNumberFormat="1" applyFont="1" applyFill="1" applyBorder="1" applyAlignment="1" applyProtection="0">
      <alignment vertical="bottom"/>
    </xf>
    <xf numFmtId="49" fontId="0" fillId="97" borderId="16" applyNumberFormat="1" applyFont="1" applyFill="1" applyBorder="1" applyAlignment="1" applyProtection="0">
      <alignment vertical="bottom"/>
    </xf>
    <xf numFmtId="49" fontId="0" fillId="98" borderId="16" applyNumberFormat="1" applyFont="1" applyFill="1" applyBorder="1" applyAlignment="1" applyProtection="0">
      <alignment vertical="bottom"/>
    </xf>
    <xf numFmtId="49" fontId="0" fillId="99" borderId="16" applyNumberFormat="1" applyFont="1" applyFill="1" applyBorder="1" applyAlignment="1" applyProtection="0">
      <alignment vertical="bottom"/>
    </xf>
    <xf numFmtId="49" fontId="0" fillId="100" borderId="16" applyNumberFormat="1" applyFont="1" applyFill="1" applyBorder="1" applyAlignment="1" applyProtection="0">
      <alignment vertical="bottom"/>
    </xf>
    <xf numFmtId="49" fontId="0" fillId="101" borderId="16" applyNumberFormat="1" applyFont="1" applyFill="1" applyBorder="1" applyAlignment="1" applyProtection="0">
      <alignment vertical="bottom"/>
    </xf>
    <xf numFmtId="49" fontId="11" fillId="5" borderId="1" applyNumberFormat="1" applyFont="1" applyFill="1" applyBorder="1" applyAlignment="1" applyProtection="0">
      <alignment horizontal="center" vertical="bottom"/>
    </xf>
    <xf numFmtId="49" fontId="0" fillId="102" borderId="16" applyNumberFormat="1" applyFont="1" applyFill="1" applyBorder="1" applyAlignment="1" applyProtection="0">
      <alignment vertical="bottom"/>
    </xf>
    <xf numFmtId="49" fontId="0" fillId="103" borderId="16" applyNumberFormat="1" applyFont="1" applyFill="1" applyBorder="1" applyAlignment="1" applyProtection="0">
      <alignment vertical="bottom"/>
    </xf>
    <xf numFmtId="49" fontId="0" fillId="104" borderId="16" applyNumberFormat="1" applyFont="1" applyFill="1" applyBorder="1" applyAlignment="1" applyProtection="0">
      <alignment vertical="bottom"/>
    </xf>
    <xf numFmtId="49" fontId="0" fillId="105" borderId="16" applyNumberFormat="1" applyFont="1" applyFill="1" applyBorder="1" applyAlignment="1" applyProtection="0">
      <alignment vertical="bottom"/>
    </xf>
    <xf numFmtId="49" fontId="0" fillId="106" borderId="16" applyNumberFormat="1" applyFont="1" applyFill="1" applyBorder="1" applyAlignment="1" applyProtection="0">
      <alignment vertical="bottom"/>
    </xf>
    <xf numFmtId="49" fontId="0" fillId="107" borderId="16" applyNumberFormat="1" applyFont="1" applyFill="1" applyBorder="1" applyAlignment="1" applyProtection="0">
      <alignment vertical="bottom"/>
    </xf>
    <xf numFmtId="49" fontId="0" fillId="108" borderId="16" applyNumberFormat="1" applyFont="1" applyFill="1" applyBorder="1" applyAlignment="1" applyProtection="0">
      <alignment vertical="bottom"/>
    </xf>
    <xf numFmtId="49" fontId="0" fillId="109" borderId="16" applyNumberFormat="1" applyFont="1" applyFill="1" applyBorder="1" applyAlignment="1" applyProtection="0">
      <alignment vertical="bottom"/>
    </xf>
    <xf numFmtId="49" fontId="0" fillId="110" borderId="16" applyNumberFormat="1" applyFont="1" applyFill="1" applyBorder="1" applyAlignment="1" applyProtection="0">
      <alignment vertical="bottom"/>
    </xf>
    <xf numFmtId="49" fontId="0" fillId="111" borderId="16" applyNumberFormat="1" applyFont="1" applyFill="1" applyBorder="1" applyAlignment="1" applyProtection="0">
      <alignment vertical="bottom"/>
    </xf>
    <xf numFmtId="49" fontId="0" fillId="112" borderId="16" applyNumberFormat="1" applyFont="1" applyFill="1" applyBorder="1" applyAlignment="1" applyProtection="0">
      <alignment vertical="bottom"/>
    </xf>
    <xf numFmtId="49" fontId="0" fillId="113" borderId="16" applyNumberFormat="1" applyFont="1" applyFill="1" applyBorder="1" applyAlignment="1" applyProtection="0">
      <alignment vertical="bottom"/>
    </xf>
    <xf numFmtId="49" fontId="0" fillId="114" borderId="16" applyNumberFormat="1" applyFont="1" applyFill="1" applyBorder="1" applyAlignment="1" applyProtection="0">
      <alignment vertical="bottom"/>
    </xf>
    <xf numFmtId="49" fontId="0" fillId="115" borderId="16" applyNumberFormat="1" applyFont="1" applyFill="1" applyBorder="1" applyAlignment="1" applyProtection="0">
      <alignment vertical="bottom"/>
    </xf>
    <xf numFmtId="49" fontId="0" fillId="116" borderId="16" applyNumberFormat="1" applyFont="1" applyFill="1" applyBorder="1" applyAlignment="1" applyProtection="0">
      <alignment vertical="bottom"/>
    </xf>
    <xf numFmtId="49" fontId="0" fillId="117" borderId="16" applyNumberFormat="1" applyFont="1" applyFill="1" applyBorder="1" applyAlignment="1" applyProtection="0">
      <alignment vertical="bottom"/>
    </xf>
    <xf numFmtId="49" fontId="0" fillId="118" borderId="16" applyNumberFormat="1" applyFont="1" applyFill="1" applyBorder="1" applyAlignment="1" applyProtection="0">
      <alignment vertical="bottom"/>
    </xf>
    <xf numFmtId="49" fontId="0" fillId="119" borderId="17" applyNumberFormat="1" applyFont="1" applyFill="1" applyBorder="1" applyAlignment="1" applyProtection="0">
      <alignment vertical="bottom"/>
    </xf>
    <xf numFmtId="49" fontId="0" fillId="120" borderId="1" applyNumberFormat="1" applyFont="1" applyFill="1" applyBorder="1" applyAlignment="1" applyProtection="0">
      <alignment vertical="bottom"/>
    </xf>
    <xf numFmtId="49" fontId="0" fillId="121" borderId="15" applyNumberFormat="1" applyFont="1" applyFill="1" applyBorder="1" applyAlignment="1" applyProtection="0">
      <alignment vertical="bottom"/>
    </xf>
    <xf numFmtId="49" fontId="0" fillId="122" borderId="16" applyNumberFormat="1" applyFont="1" applyFill="1" applyBorder="1" applyAlignment="1" applyProtection="0">
      <alignment vertical="bottom"/>
    </xf>
    <xf numFmtId="49" fontId="0" fillId="123" borderId="16" applyNumberFormat="1" applyFont="1" applyFill="1" applyBorder="1" applyAlignment="1" applyProtection="0">
      <alignment vertical="bottom"/>
    </xf>
    <xf numFmtId="49" fontId="0" fillId="124" borderId="16" applyNumberFormat="1" applyFont="1" applyFill="1" applyBorder="1" applyAlignment="1" applyProtection="0">
      <alignment vertical="bottom"/>
    </xf>
    <xf numFmtId="49" fontId="0" fillId="125" borderId="17" applyNumberFormat="1" applyFont="1" applyFill="1" applyBorder="1" applyAlignment="1" applyProtection="0">
      <alignment vertical="bottom"/>
    </xf>
    <xf numFmtId="49" fontId="0" fillId="126" borderId="1" applyNumberFormat="1" applyFont="1" applyFill="1" applyBorder="1" applyAlignment="1" applyProtection="0">
      <alignment vertical="bottom"/>
    </xf>
    <xf numFmtId="49" fontId="0" fillId="127" borderId="15" applyNumberFormat="1" applyFont="1" applyFill="1" applyBorder="1" applyAlignment="1" applyProtection="0">
      <alignment vertical="bottom"/>
    </xf>
    <xf numFmtId="49" fontId="0" fillId="128" borderId="16" applyNumberFormat="1" applyFont="1" applyFill="1" applyBorder="1" applyAlignment="1" applyProtection="0">
      <alignment vertical="bottom"/>
    </xf>
    <xf numFmtId="49" fontId="0" fillId="129" borderId="16" applyNumberFormat="1" applyFont="1" applyFill="1" applyBorder="1" applyAlignment="1" applyProtection="0">
      <alignment vertical="bottom"/>
    </xf>
    <xf numFmtId="49" fontId="0" fillId="130" borderId="16" applyNumberFormat="1" applyFont="1" applyFill="1" applyBorder="1" applyAlignment="1" applyProtection="0">
      <alignment vertical="bottom"/>
    </xf>
    <xf numFmtId="49" fontId="0" fillId="131" borderId="16" applyNumberFormat="1" applyFont="1" applyFill="1" applyBorder="1" applyAlignment="1" applyProtection="0">
      <alignment vertical="bottom"/>
    </xf>
    <xf numFmtId="49" fontId="0" fillId="132" borderId="16" applyNumberFormat="1" applyFont="1" applyFill="1" applyBorder="1" applyAlignment="1" applyProtection="0">
      <alignment vertical="bottom"/>
    </xf>
    <xf numFmtId="49" fontId="0" fillId="133" borderId="16" applyNumberFormat="1" applyFont="1" applyFill="1" applyBorder="1" applyAlignment="1" applyProtection="0">
      <alignment vertical="bottom"/>
    </xf>
    <xf numFmtId="49" fontId="0" fillId="134" borderId="16" applyNumberFormat="1" applyFont="1" applyFill="1" applyBorder="1" applyAlignment="1" applyProtection="0">
      <alignment vertical="bottom"/>
    </xf>
    <xf numFmtId="49" fontId="0" fillId="135" borderId="16" applyNumberFormat="1" applyFont="1" applyFill="1" applyBorder="1" applyAlignment="1" applyProtection="0">
      <alignment vertical="bottom"/>
    </xf>
    <xf numFmtId="49" fontId="0" fillId="136" borderId="16" applyNumberFormat="1" applyFont="1" applyFill="1" applyBorder="1" applyAlignment="1" applyProtection="0">
      <alignment vertical="bottom"/>
    </xf>
    <xf numFmtId="49" fontId="0" fillId="137" borderId="16" applyNumberFormat="1" applyFont="1" applyFill="1" applyBorder="1" applyAlignment="1" applyProtection="0">
      <alignment vertical="bottom"/>
    </xf>
    <xf numFmtId="49" fontId="0" fillId="138" borderId="16" applyNumberFormat="1" applyFont="1" applyFill="1" applyBorder="1" applyAlignment="1" applyProtection="0">
      <alignment vertical="bottom"/>
    </xf>
    <xf numFmtId="49" fontId="0" fillId="139" borderId="16" applyNumberFormat="1" applyFont="1" applyFill="1" applyBorder="1" applyAlignment="1" applyProtection="0">
      <alignment vertical="bottom"/>
    </xf>
    <xf numFmtId="49" fontId="0" fillId="140" borderId="16" applyNumberFormat="1" applyFont="1" applyFill="1" applyBorder="1" applyAlignment="1" applyProtection="0">
      <alignment vertical="bottom"/>
    </xf>
    <xf numFmtId="49" fontId="0" fillId="141" borderId="16" applyNumberFormat="1" applyFont="1" applyFill="1" applyBorder="1" applyAlignment="1" applyProtection="0">
      <alignment vertical="bottom"/>
    </xf>
    <xf numFmtId="49" fontId="0" fillId="142" borderId="16" applyNumberFormat="1" applyFont="1" applyFill="1" applyBorder="1" applyAlignment="1" applyProtection="0">
      <alignment vertical="bottom"/>
    </xf>
    <xf numFmtId="49" fontId="0" fillId="143" borderId="16" applyNumberFormat="1" applyFont="1" applyFill="1" applyBorder="1" applyAlignment="1" applyProtection="0">
      <alignment vertical="bottom"/>
    </xf>
    <xf numFmtId="49" fontId="0" fillId="144" borderId="16" applyNumberFormat="1" applyFont="1" applyFill="1" applyBorder="1" applyAlignment="1" applyProtection="0">
      <alignment vertical="bottom"/>
    </xf>
    <xf numFmtId="49" fontId="0" fillId="145" borderId="16" applyNumberFormat="1" applyFont="1" applyFill="1" applyBorder="1" applyAlignment="1" applyProtection="0">
      <alignment vertical="bottom"/>
    </xf>
    <xf numFmtId="49" fontId="0" fillId="146" borderId="16" applyNumberFormat="1" applyFont="1" applyFill="1" applyBorder="1" applyAlignment="1" applyProtection="0">
      <alignment vertical="bottom"/>
    </xf>
    <xf numFmtId="49" fontId="0" fillId="147" borderId="16" applyNumberFormat="1" applyFont="1" applyFill="1" applyBorder="1" applyAlignment="1" applyProtection="0">
      <alignment vertical="bottom"/>
    </xf>
    <xf numFmtId="49" fontId="0" fillId="148" borderId="16" applyNumberFormat="1" applyFont="1" applyFill="1" applyBorder="1" applyAlignment="1" applyProtection="0">
      <alignment vertical="bottom"/>
    </xf>
    <xf numFmtId="49" fontId="0" fillId="149" borderId="16" applyNumberFormat="1" applyFont="1" applyFill="1" applyBorder="1" applyAlignment="1" applyProtection="0">
      <alignment vertical="bottom"/>
    </xf>
    <xf numFmtId="49" fontId="0" fillId="150" borderId="16" applyNumberFormat="1" applyFont="1" applyFill="1" applyBorder="1" applyAlignment="1" applyProtection="0">
      <alignment vertical="bottom"/>
    </xf>
    <xf numFmtId="49" fontId="0" fillId="151" borderId="16" applyNumberFormat="1" applyFont="1" applyFill="1" applyBorder="1" applyAlignment="1" applyProtection="0">
      <alignment vertical="bottom"/>
    </xf>
    <xf numFmtId="49" fontId="0" fillId="152" borderId="16" applyNumberFormat="1" applyFont="1" applyFill="1" applyBorder="1" applyAlignment="1" applyProtection="0">
      <alignment vertical="bottom"/>
    </xf>
    <xf numFmtId="49" fontId="0" fillId="153" borderId="16" applyNumberFormat="1" applyFont="1" applyFill="1" applyBorder="1" applyAlignment="1" applyProtection="0">
      <alignment vertical="bottom"/>
    </xf>
    <xf numFmtId="49" fontId="0" fillId="26" borderId="16" applyNumberFormat="1" applyFont="1" applyFill="1" applyBorder="1" applyAlignment="1" applyProtection="0">
      <alignment vertical="bottom"/>
    </xf>
    <xf numFmtId="49" fontId="0" fillId="154" borderId="16" applyNumberFormat="1" applyFont="1" applyFill="1" applyBorder="1" applyAlignment="1" applyProtection="0">
      <alignment vertical="bottom"/>
    </xf>
    <xf numFmtId="49" fontId="0" fillId="155" borderId="16" applyNumberFormat="1" applyFont="1" applyFill="1" applyBorder="1" applyAlignment="1" applyProtection="0">
      <alignment vertical="bottom"/>
    </xf>
    <xf numFmtId="49" fontId="0" fillId="156" borderId="16" applyNumberFormat="1" applyFont="1" applyFill="1" applyBorder="1" applyAlignment="1" applyProtection="0">
      <alignment vertical="bottom"/>
    </xf>
    <xf numFmtId="49" fontId="0" fillId="157" borderId="16" applyNumberFormat="1" applyFont="1" applyFill="1" applyBorder="1" applyAlignment="1" applyProtection="0">
      <alignment vertical="bottom"/>
    </xf>
    <xf numFmtId="49" fontId="0" fillId="158" borderId="16" applyNumberFormat="1" applyFont="1" applyFill="1" applyBorder="1" applyAlignment="1" applyProtection="0">
      <alignment vertical="bottom"/>
    </xf>
    <xf numFmtId="49" fontId="0" fillId="159" borderId="16" applyNumberFormat="1" applyFont="1" applyFill="1" applyBorder="1" applyAlignment="1" applyProtection="0">
      <alignment vertical="bottom"/>
    </xf>
    <xf numFmtId="49" fontId="0" fillId="160" borderId="16" applyNumberFormat="1" applyFont="1" applyFill="1" applyBorder="1" applyAlignment="1" applyProtection="0">
      <alignment vertical="bottom"/>
    </xf>
    <xf numFmtId="49" fontId="0" fillId="161" borderId="17" applyNumberFormat="1" applyFont="1" applyFill="1" applyBorder="1" applyAlignment="1" applyProtection="0">
      <alignment vertical="bottom"/>
    </xf>
    <xf numFmtId="0" fontId="0" borderId="18" applyNumberFormat="0" applyFont="1" applyFill="0" applyBorder="1" applyAlignment="1" applyProtection="0">
      <alignment vertical="bottom"/>
    </xf>
    <xf numFmtId="49" fontId="0" fillId="162" borderId="1" applyNumberFormat="1" applyFont="1" applyFill="1" applyBorder="1" applyAlignment="1" applyProtection="0">
      <alignment vertical="bottom"/>
    </xf>
    <xf numFmtId="0" fontId="0" fillId="5" borderId="7" applyNumberFormat="0" applyFont="1" applyFill="1" applyBorder="1" applyAlignment="1" applyProtection="0">
      <alignment vertical="center"/>
    </xf>
    <xf numFmtId="0" fontId="0" fillId="5" borderId="7" applyNumberFormat="0" applyFont="1" applyFill="1" applyBorder="1" applyAlignment="1" applyProtection="0">
      <alignment vertical="bottom"/>
    </xf>
    <xf numFmtId="0" fontId="0" borderId="7" applyNumberFormat="0" applyFont="1" applyFill="0" applyBorder="1" applyAlignment="1" applyProtection="0">
      <alignment vertical="bottom"/>
    </xf>
    <xf numFmtId="0" fontId="0" borderId="20" applyNumberFormat="0" applyFont="1" applyFill="0" applyBorder="1" applyAlignment="1" applyProtection="0">
      <alignment vertical="bottom"/>
    </xf>
    <xf numFmtId="0" fontId="0" fillId="5" borderId="20" applyNumberFormat="0" applyFont="1" applyFill="1" applyBorder="1" applyAlignment="1" applyProtection="0">
      <alignment vertical="center"/>
    </xf>
    <xf numFmtId="0" fontId="0" fillId="5" borderId="20" applyNumberFormat="0" applyFont="1" applyFill="1" applyBorder="1" applyAlignment="1" applyProtection="0">
      <alignment vertical="bottom"/>
    </xf>
    <xf numFmtId="0" fontId="0" borderId="10" applyNumberFormat="0" applyFont="1" applyFill="0" applyBorder="1" applyAlignment="1" applyProtection="0">
      <alignment vertical="bottom"/>
    </xf>
    <xf numFmtId="49" fontId="0" fillId="163" borderId="10" applyNumberFormat="1" applyFont="1" applyFill="1" applyBorder="1" applyAlignment="1" applyProtection="0">
      <alignment horizontal="center" vertical="center"/>
    </xf>
    <xf numFmtId="49" fontId="0" fillId="5" borderId="10" applyNumberFormat="1" applyFont="1" applyFill="1" applyBorder="1" applyAlignment="1" applyProtection="0">
      <alignment horizontal="center" vertical="center"/>
    </xf>
    <xf numFmtId="0" fontId="0" fillId="5" borderId="10" applyNumberFormat="0" applyFont="1" applyFill="1" applyBorder="1" applyAlignment="1" applyProtection="0">
      <alignment horizontal="center" vertical="bottom"/>
    </xf>
    <xf numFmtId="0" fontId="0" borderId="21" applyNumberFormat="0" applyFont="1" applyFill="0" applyBorder="1" applyAlignment="1" applyProtection="0">
      <alignment vertical="bottom"/>
    </xf>
    <xf numFmtId="0" fontId="0" borderId="22" applyNumberFormat="0" applyFont="1" applyFill="0" applyBorder="1" applyAlignment="1" applyProtection="0">
      <alignment vertical="bottom"/>
    </xf>
    <xf numFmtId="49" fontId="0" fillId="163" borderId="22" applyNumberFormat="1" applyFont="1" applyFill="1" applyBorder="1" applyAlignment="1" applyProtection="0">
      <alignment horizontal="center" vertical="center"/>
    </xf>
    <xf numFmtId="0" fontId="0" fillId="5" borderId="22" applyNumberFormat="0" applyFont="1" applyFill="1" applyBorder="1" applyAlignment="1" applyProtection="0">
      <alignment horizontal="center" vertical="bottom"/>
    </xf>
    <xf numFmtId="0" fontId="0" borderId="23" applyNumberFormat="0" applyFont="1" applyFill="0" applyBorder="1" applyAlignment="1" applyProtection="0">
      <alignment vertical="bottom"/>
    </xf>
    <xf numFmtId="0" fontId="0" applyNumberFormat="1" applyFont="1" applyFill="0" applyBorder="0" applyAlignment="1" applyProtection="0">
      <alignment vertical="bottom"/>
    </xf>
    <xf numFmtId="49" fontId="0" fillId="5" borderId="1" applyNumberFormat="1" applyFont="1" applyFill="1" applyBorder="1" applyAlignment="1" applyProtection="0">
      <alignment horizontal="center" vertical="center"/>
    </xf>
    <xf numFmtId="49" fontId="0" fillId="162" borderId="1" applyNumberFormat="1" applyFont="1" applyFill="1" applyBorder="1" applyAlignment="1" applyProtection="0">
      <alignment horizontal="center" vertical="bottom"/>
    </xf>
    <xf numFmtId="49" fontId="0" fillId="164" borderId="1" applyNumberFormat="1" applyFont="1" applyFill="1" applyBorder="1" applyAlignment="1" applyProtection="0">
      <alignment horizontal="center" vertical="bottom"/>
    </xf>
    <xf numFmtId="49" fontId="0" fillId="165" borderId="1" applyNumberFormat="1" applyFont="1" applyFill="1" applyBorder="1" applyAlignment="1" applyProtection="0">
      <alignment horizontal="center" vertical="bottom"/>
    </xf>
    <xf numFmtId="49" fontId="0" fillId="161" borderId="1" applyNumberFormat="1" applyFont="1" applyFill="1" applyBorder="1" applyAlignment="1" applyProtection="0">
      <alignment horizontal="center" vertical="bottom"/>
    </xf>
    <xf numFmtId="49" fontId="0" fillId="166" borderId="1" applyNumberFormat="1" applyFont="1" applyFill="1" applyBorder="1" applyAlignment="1" applyProtection="0">
      <alignment horizontal="center" vertical="bottom"/>
    </xf>
    <xf numFmtId="49" fontId="0" fillId="167" borderId="1" applyNumberFormat="1" applyFont="1" applyFill="1" applyBorder="1" applyAlignment="1" applyProtection="0">
      <alignment horizontal="center" vertical="bottom"/>
    </xf>
    <xf numFmtId="49" fontId="0" fillId="91" borderId="1" applyNumberFormat="1" applyFont="1" applyFill="1" applyBorder="1" applyAlignment="1" applyProtection="0">
      <alignment horizontal="center" vertical="bottom"/>
    </xf>
    <xf numFmtId="49" fontId="0" fillId="113" borderId="1" applyNumberFormat="1" applyFont="1" applyFill="1" applyBorder="1" applyAlignment="1" applyProtection="0">
      <alignment horizontal="center"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7f7f7f"/>
      <rgbColor rgb="ffffffff"/>
      <rgbColor rgb="ffaaaaaa"/>
      <rgbColor rgb="ffe6e9eb"/>
      <rgbColor rgb="ffdbedd5"/>
      <rgbColor rgb="ffd8d8d8"/>
      <rgbColor rgb="fff2f2f2"/>
      <rgbColor rgb="ff071420"/>
      <rgbColor rgb="ff264185"/>
      <rgbColor rgb="ff1a2862"/>
      <rgbColor rgb="ff7c8189"/>
      <rgbColor rgb="ffedeff0"/>
      <rgbColor rgb="ff0a522a"/>
      <rgbColor rgb="ff202123"/>
      <rgbColor rgb="ffcb563b"/>
      <rgbColor rgb="ff436648"/>
      <rgbColor rgb="ff3f434d"/>
      <rgbColor rgb="ff343b67"/>
      <rgbColor rgb="ff1092c6"/>
      <rgbColor rgb="ff395466"/>
      <rgbColor rgb="ffa87759"/>
      <rgbColor rgb="ff213733"/>
      <rgbColor rgb="ff533f31"/>
      <rgbColor rgb="ffc4cd4c"/>
      <rgbColor rgb="ff63a549"/>
      <rgbColor rgb="ff8c97a9"/>
      <rgbColor rgb="ff376f7f"/>
      <rgbColor rgb="ff0c6bb0"/>
      <rgbColor rgb="ff97929e"/>
      <rgbColor rgb="ff036358"/>
      <rgbColor rgb="ff072594"/>
      <rgbColor rgb="ff6c272a"/>
      <rgbColor rgb="ff033261"/>
      <rgbColor rgb="ff85878d"/>
      <rgbColor rgb="ffbfbfbf"/>
      <rgbColor rgb="ff044177"/>
      <rgbColor rgb="ff2f2381"/>
      <rgbColor rgb="ff333438"/>
      <rgbColor rgb="ff22362a"/>
      <rgbColor rgb="ff281d47"/>
      <rgbColor rgb="ff102f32"/>
      <rgbColor rgb="ff5b4034"/>
      <rgbColor rgb="ff797563"/>
      <rgbColor rgb="ff43274f"/>
      <rgbColor rgb="ff374048"/>
      <rgbColor rgb="ff073584"/>
      <rgbColor rgb="ff092342"/>
      <rgbColor rgb="ffff0000"/>
      <rgbColor rgb="ff7b2b37"/>
      <rgbColor rgb="ff252127"/>
      <rgbColor rgb="ff07402d"/>
      <rgbColor rgb="ff1b1e2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主题​​">
  <a:themeElements>
    <a:clrScheme name="Office 主题​​">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主题​​">
      <a:majorFont>
        <a:latin typeface="Helvetica Neue"/>
        <a:ea typeface="Helvetica Neue"/>
        <a:cs typeface="Helvetica Neue"/>
      </a:majorFont>
      <a:minorFont>
        <a:latin typeface="Helvetica Neue"/>
        <a:ea typeface="Helvetica Neue"/>
        <a:cs typeface="Helvetica Neue"/>
      </a:minorFont>
    </a:fontScheme>
    <a:fmtScheme name="Office 主题​​">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66</v>
      </c>
      <c r="C11" s="3"/>
      <c r="D11" s="3"/>
    </row>
    <row r="12">
      <c r="B12" s="4"/>
      <c r="C12" t="s" s="4">
        <v>5</v>
      </c>
      <c r="D12" t="s" s="5">
        <v>66</v>
      </c>
    </row>
    <row r="13">
      <c r="B13" t="s" s="3">
        <v>867</v>
      </c>
      <c r="C13" s="3"/>
      <c r="D13" s="3"/>
    </row>
    <row r="14">
      <c r="B14" s="4"/>
      <c r="C14" t="s" s="4">
        <v>5</v>
      </c>
      <c r="D14" t="s" s="5">
        <v>867</v>
      </c>
    </row>
  </sheetData>
  <mergeCells count="1">
    <mergeCell ref="B3:D3"/>
  </mergeCells>
  <hyperlinks>
    <hyperlink ref="D10" location="'概览'!R1C1" tooltip="" display="概览"/>
    <hyperlink ref="D12" location="'0319 Version'!R1C1" tooltip="" display="0319 Version"/>
    <hyperlink ref="D14" location="'已删除颜色'!R1C1" tooltip="" display="已删除颜色"/>
  </hyperlinks>
</worksheet>
</file>

<file path=xl/worksheets/sheet2.xml><?xml version="1.0" encoding="utf-8"?>
<worksheet xmlns:r="http://schemas.openxmlformats.org/officeDocument/2006/relationships" xmlns="http://schemas.openxmlformats.org/spreadsheetml/2006/main">
  <dimension ref="A1:O11"/>
  <sheetViews>
    <sheetView workbookViewId="0" showGridLines="0" defaultGridColor="1"/>
  </sheetViews>
  <sheetFormatPr defaultColWidth="10.8333" defaultRowHeight="15" customHeight="1" outlineLevelRow="0" outlineLevelCol="0"/>
  <cols>
    <col min="1" max="1" width="32" style="6" customWidth="1"/>
    <col min="2" max="2" width="35.1719" style="6" customWidth="1"/>
    <col min="3" max="3" width="31.8516" style="6" customWidth="1"/>
    <col min="4" max="5" width="22.5" style="6" customWidth="1"/>
    <col min="6" max="6" width="16.3516" style="6" customWidth="1"/>
    <col min="7" max="7" width="19.6719" style="6" customWidth="1"/>
    <col min="8" max="8" width="19" style="6" customWidth="1"/>
    <col min="9" max="9" width="20.3516" style="6" customWidth="1"/>
    <col min="10" max="10" width="17.5" style="6" customWidth="1"/>
    <col min="11" max="11" width="19.8516" style="6" customWidth="1"/>
    <col min="12" max="12" width="20.1719" style="6" customWidth="1"/>
    <col min="13" max="13" width="18.5" style="6" customWidth="1"/>
    <col min="14" max="14" width="20.1719" style="6" customWidth="1"/>
    <col min="15" max="15" width="19.6719" style="6" customWidth="1"/>
    <col min="16" max="16384" width="10.8516" style="6" customWidth="1"/>
  </cols>
  <sheetData>
    <row r="1" ht="40" customHeight="1">
      <c r="A1" t="s" s="7">
        <v>6</v>
      </c>
      <c r="B1" t="s" s="7">
        <v>7</v>
      </c>
      <c r="C1" t="s" s="7">
        <v>8</v>
      </c>
      <c r="D1" t="s" s="7">
        <v>9</v>
      </c>
      <c r="E1" s="8"/>
      <c r="F1" t="s" s="9">
        <v>10</v>
      </c>
      <c r="G1" s="10"/>
      <c r="H1" t="s" s="11">
        <v>11</v>
      </c>
      <c r="I1" s="12"/>
      <c r="J1" t="s" s="11">
        <v>12</v>
      </c>
      <c r="K1" s="13"/>
      <c r="L1" s="13"/>
      <c r="M1" s="13"/>
      <c r="N1" s="13"/>
      <c r="O1" s="12"/>
    </row>
    <row r="2" ht="46" customHeight="1">
      <c r="A2" s="14">
        <f>COUNTA('0319 Version'!$C1:$C158)-1</f>
        <v>155</v>
      </c>
      <c r="B2" s="14">
        <f>COUNTIF('0319 Version'!J1:J158,"Individual TT")</f>
        <v>139</v>
      </c>
      <c r="C2" s="14">
        <f>COUNTIF('0319 Version'!J1:J158,"No")</f>
        <v>14</v>
      </c>
      <c r="D2" s="15">
        <f>(B2*3)+C2</f>
        <v>431</v>
      </c>
      <c r="E2" s="16"/>
      <c r="F2" t="s" s="7">
        <v>13</v>
      </c>
      <c r="G2" s="17">
        <f>COUNTIF('0319 Version'!$G1:$G158,"blue")</f>
        <v>41</v>
      </c>
      <c r="H2" t="s" s="18">
        <v>14</v>
      </c>
      <c r="I2" s="17">
        <f>_xlfn.COUNTIFS('0319 Version'!$G1:$G158,"blue",'0319 Version'!$J1:$J158,"No")</f>
        <v>1</v>
      </c>
      <c r="J2" t="s" s="19">
        <v>15</v>
      </c>
      <c r="K2" s="17">
        <f t="shared" si="6" ref="K2:O2">_xlfn.COUNTIFS('0319 Version'!$G1:$G158,"blue",'0319 Version'!$J1:$J158,"Individual TT")</f>
        <v>40</v>
      </c>
      <c r="L2" t="s" s="20">
        <v>16</v>
      </c>
      <c r="M2" s="17">
        <f t="shared" si="6"/>
        <v>40</v>
      </c>
      <c r="N2" t="s" s="20">
        <v>17</v>
      </c>
      <c r="O2" s="17">
        <f t="shared" si="6"/>
        <v>40</v>
      </c>
    </row>
    <row r="3" ht="52" customHeight="1">
      <c r="A3" t="s" s="21">
        <v>18</v>
      </c>
      <c r="B3" t="s" s="22">
        <v>19</v>
      </c>
      <c r="C3" t="s" s="22">
        <v>20</v>
      </c>
      <c r="D3" s="23"/>
      <c r="E3" s="24"/>
      <c r="F3" t="s" s="7">
        <v>21</v>
      </c>
      <c r="G3" s="17">
        <f>COUNTIF('0319 Version'!$G1:$G158,"red")</f>
        <v>16</v>
      </c>
      <c r="H3" t="s" s="18">
        <v>22</v>
      </c>
      <c r="I3" s="17">
        <f>_xlfn.COUNTIFS('0319 Version'!$G1:$G158,"red",'0319 Version'!$J1:$J158,"No")</f>
        <v>1</v>
      </c>
      <c r="J3" t="s" s="19">
        <v>23</v>
      </c>
      <c r="K3" s="17">
        <f t="shared" si="11" ref="K3:O3">_xlfn.COUNTIFS('0319 Version'!$G1:$G158,"red",'0319 Version'!$J1:$J158,"Individual TT")</f>
        <v>15</v>
      </c>
      <c r="L3" t="s" s="20">
        <v>24</v>
      </c>
      <c r="M3" s="17">
        <f t="shared" si="11"/>
        <v>15</v>
      </c>
      <c r="N3" t="s" s="20">
        <v>25</v>
      </c>
      <c r="O3" s="17">
        <f t="shared" si="11"/>
        <v>15</v>
      </c>
    </row>
    <row r="4" ht="47" customHeight="1">
      <c r="A4" s="25">
        <f>COUNTIF('0319 Version'!$H1:$H158,"Frozen")</f>
        <v>11</v>
      </c>
      <c r="B4" s="25">
        <f>COUNTIF('0319 Version'!$H1:$H158,"Metallic")</f>
        <v>98</v>
      </c>
      <c r="C4" s="25">
        <f>COUNTIF('0319 Version'!$H1:$H158,"Uni")</f>
        <v>44</v>
      </c>
      <c r="D4" s="26"/>
      <c r="E4" s="24"/>
      <c r="F4" t="s" s="7">
        <v>26</v>
      </c>
      <c r="G4" s="17">
        <f>COUNTIF('0319 Version'!$G1:$G158,"yellow")</f>
        <v>5</v>
      </c>
      <c r="H4" t="s" s="18">
        <v>27</v>
      </c>
      <c r="I4" s="17">
        <f>_xlfn.COUNTIFS('0319 Version'!$G1:$G158,"yellow",'0319 Version'!$J1:$J158,"No")</f>
        <v>0</v>
      </c>
      <c r="J4" t="s" s="19">
        <v>28</v>
      </c>
      <c r="K4" s="17">
        <f t="shared" si="19" ref="K4:O4">_xlfn.COUNTIFS('0319 Version'!$G1:$G158,"yellow",'0319 Version'!$J1:$J158,"Individual TT")</f>
        <v>5</v>
      </c>
      <c r="L4" t="s" s="20">
        <v>29</v>
      </c>
      <c r="M4" s="17">
        <f t="shared" si="19"/>
        <v>5</v>
      </c>
      <c r="N4" t="s" s="20">
        <v>30</v>
      </c>
      <c r="O4" s="17">
        <f t="shared" si="19"/>
        <v>5</v>
      </c>
    </row>
    <row r="5" ht="47" customHeight="1">
      <c r="A5" s="27"/>
      <c r="B5" s="27"/>
      <c r="C5" s="27"/>
      <c r="D5" s="26"/>
      <c r="E5" s="24"/>
      <c r="F5" t="s" s="7">
        <v>31</v>
      </c>
      <c r="G5" s="17">
        <f>COUNTIF('0319 Version'!$G1:$G158,"green")</f>
        <v>33</v>
      </c>
      <c r="H5" t="s" s="18">
        <v>32</v>
      </c>
      <c r="I5" s="17">
        <f>_xlfn.COUNTIFS('0319 Version'!$G1:$G158,"green",'0319 Version'!$J1:$J158,"No")</f>
        <v>2</v>
      </c>
      <c r="J5" t="s" s="19">
        <v>33</v>
      </c>
      <c r="K5" s="17">
        <f t="shared" si="24" ref="K5:O5">_xlfn.COUNTIFS('0319 Version'!$G1:$G158,"green",'0319 Version'!$J1:$J158,"Individual TT")</f>
        <v>31</v>
      </c>
      <c r="L5" t="s" s="20">
        <v>34</v>
      </c>
      <c r="M5" s="17">
        <f t="shared" si="24"/>
        <v>31</v>
      </c>
      <c r="N5" t="s" s="20">
        <v>35</v>
      </c>
      <c r="O5" s="17">
        <f t="shared" si="24"/>
        <v>31</v>
      </c>
    </row>
    <row r="6" ht="47" customHeight="1">
      <c r="A6" s="27"/>
      <c r="B6" s="27"/>
      <c r="C6" s="27"/>
      <c r="D6" s="26"/>
      <c r="E6" s="24"/>
      <c r="F6" t="s" s="7">
        <v>36</v>
      </c>
      <c r="G6" s="17">
        <f>COUNTIF('0319 Version'!$G1:$G158,"violet")</f>
        <v>11</v>
      </c>
      <c r="H6" t="s" s="18">
        <v>37</v>
      </c>
      <c r="I6" s="17">
        <f>_xlfn.COUNTIFS('0319 Version'!$G1:$G158,"violet",'0319 Version'!$J1:$J158,"No")</f>
        <v>1</v>
      </c>
      <c r="J6" t="s" s="19">
        <v>38</v>
      </c>
      <c r="K6" s="17">
        <f t="shared" si="29" ref="K6:O6">_xlfn.COUNTIFS('0319 Version'!$G1:$G158,"violet",'0319 Version'!$J1:$J158,"Individual TT")</f>
        <v>10</v>
      </c>
      <c r="L6" t="s" s="20">
        <v>39</v>
      </c>
      <c r="M6" s="17">
        <f t="shared" si="29"/>
        <v>10</v>
      </c>
      <c r="N6" t="s" s="20">
        <v>40</v>
      </c>
      <c r="O6" s="17">
        <f t="shared" si="29"/>
        <v>10</v>
      </c>
    </row>
    <row r="7" ht="48" customHeight="1">
      <c r="A7" s="26"/>
      <c r="B7" s="26"/>
      <c r="C7" s="26"/>
      <c r="D7" s="26"/>
      <c r="E7" s="24"/>
      <c r="F7" t="s" s="7">
        <v>41</v>
      </c>
      <c r="G7" s="17">
        <f>COUNTIF('0319 Version'!$G1:$G158,"orange")</f>
        <v>3</v>
      </c>
      <c r="H7" t="s" s="18">
        <v>42</v>
      </c>
      <c r="I7" s="17">
        <f>_xlfn.COUNTIFS('0319 Version'!$G1:$G158,"orange",'0319 Version'!$J1:$J158,"No")</f>
        <v>1</v>
      </c>
      <c r="J7" t="s" s="19">
        <v>43</v>
      </c>
      <c r="K7" s="17">
        <f t="shared" si="34" ref="K7:O7">_xlfn.COUNTIFS('0319 Version'!$G1:$G158,"orange",'0319 Version'!$J1:$J158,"Individual TT")</f>
        <v>2</v>
      </c>
      <c r="L7" t="s" s="20">
        <v>44</v>
      </c>
      <c r="M7" s="17">
        <f t="shared" si="34"/>
        <v>2</v>
      </c>
      <c r="N7" t="s" s="20">
        <v>45</v>
      </c>
      <c r="O7" s="17">
        <f t="shared" si="34"/>
        <v>2</v>
      </c>
    </row>
    <row r="8" ht="39" customHeight="1">
      <c r="A8" s="26"/>
      <c r="B8" s="26"/>
      <c r="C8" s="26"/>
      <c r="D8" s="26"/>
      <c r="E8" s="24"/>
      <c r="F8" t="s" s="7">
        <v>46</v>
      </c>
      <c r="G8" s="17">
        <f>COUNTIF('0319 Version'!$G1:$G158,"brown")</f>
        <v>8</v>
      </c>
      <c r="H8" t="s" s="18">
        <v>47</v>
      </c>
      <c r="I8" s="17">
        <f>_xlfn.COUNTIFS('0319 Version'!$G1:$G158,"brown",'0319 Version'!$J1:$J158,"No")</f>
        <v>0</v>
      </c>
      <c r="J8" t="s" s="19">
        <v>48</v>
      </c>
      <c r="K8" s="17">
        <f t="shared" si="39" ref="K8:O8">_xlfn.COUNTIFS('0319 Version'!$G1:$G158,"brown",'0319 Version'!$J1:$J158,"Individual TT")</f>
        <v>8</v>
      </c>
      <c r="L8" t="s" s="20">
        <v>49</v>
      </c>
      <c r="M8" s="17">
        <f t="shared" si="39"/>
        <v>8</v>
      </c>
      <c r="N8" t="s" s="20">
        <v>50</v>
      </c>
      <c r="O8" s="17">
        <f t="shared" si="39"/>
        <v>8</v>
      </c>
    </row>
    <row r="9" ht="64" customHeight="1">
      <c r="A9" s="26"/>
      <c r="B9" s="26"/>
      <c r="C9" s="26"/>
      <c r="D9" s="26"/>
      <c r="E9" s="24"/>
      <c r="F9" t="s" s="7">
        <v>51</v>
      </c>
      <c r="G9" s="17">
        <f>COUNTIF('0319 Version'!$G1:$G158,"gray")</f>
        <v>24</v>
      </c>
      <c r="H9" t="s" s="18">
        <v>52</v>
      </c>
      <c r="I9" s="17">
        <f>_xlfn.COUNTIFS('0319 Version'!$G1:$G158,"gray",'0319 Version'!$J1:$J158,"No")</f>
        <v>4</v>
      </c>
      <c r="J9" t="s" s="19">
        <v>53</v>
      </c>
      <c r="K9" s="17">
        <f t="shared" si="44" ref="K9:O9">_xlfn.COUNTIFS('0319 Version'!$G1:$G158,"gray",'0319 Version'!$J1:$J158,"Individual TT")</f>
        <v>20</v>
      </c>
      <c r="L9" t="s" s="20">
        <v>54</v>
      </c>
      <c r="M9" s="17">
        <f t="shared" si="44"/>
        <v>20</v>
      </c>
      <c r="N9" t="s" s="20">
        <v>55</v>
      </c>
      <c r="O9" s="17">
        <f t="shared" si="44"/>
        <v>20</v>
      </c>
    </row>
    <row r="10" ht="45" customHeight="1">
      <c r="A10" s="26"/>
      <c r="B10" s="26"/>
      <c r="C10" s="26"/>
      <c r="D10" s="26"/>
      <c r="E10" s="24"/>
      <c r="F10" t="s" s="7">
        <v>56</v>
      </c>
      <c r="G10" s="17">
        <f>COUNTIF('0319 Version'!$G1:$G158,"black")</f>
        <v>9</v>
      </c>
      <c r="H10" t="s" s="18">
        <v>57</v>
      </c>
      <c r="I10" s="17">
        <f>_xlfn.COUNTIFS('0319 Version'!$G1:$G158,"black",'0319 Version'!$J1:$J158,"No")</f>
        <v>1</v>
      </c>
      <c r="J10" t="s" s="19">
        <v>58</v>
      </c>
      <c r="K10" s="17">
        <f t="shared" si="49" ref="K10:O10">_xlfn.COUNTIFS('0319 Version'!$G1:$G158,"black",'0319 Version'!$J1:$J158,"Individual TT")</f>
        <v>8</v>
      </c>
      <c r="L10" t="s" s="20">
        <v>59</v>
      </c>
      <c r="M10" s="17">
        <f t="shared" si="49"/>
        <v>8</v>
      </c>
      <c r="N10" t="s" s="20">
        <v>60</v>
      </c>
      <c r="O10" s="17">
        <f t="shared" si="49"/>
        <v>8</v>
      </c>
    </row>
    <row r="11" ht="40" customHeight="1">
      <c r="A11" s="26"/>
      <c r="B11" s="26"/>
      <c r="C11" s="26"/>
      <c r="D11" s="26"/>
      <c r="E11" s="24"/>
      <c r="F11" t="s" s="7">
        <v>61</v>
      </c>
      <c r="G11" s="17">
        <f>COUNTIF('0319 Version'!$G1:$G158,"white")</f>
        <v>3</v>
      </c>
      <c r="H11" t="s" s="18">
        <v>62</v>
      </c>
      <c r="I11" s="17">
        <f>_xlfn.COUNTIFS('0319 Version'!$G1:$G158,"white",'0319 Version'!$J1:$J158,"No")</f>
        <v>3</v>
      </c>
      <c r="J11" t="s" s="19">
        <v>63</v>
      </c>
      <c r="K11" s="17">
        <f t="shared" si="54" ref="K11:O11">_xlfn.COUNTIFS('0319 Version'!$G1:$G158,"white",'0319 Version'!$J1:$J158,"Individual TT")</f>
        <v>0</v>
      </c>
      <c r="L11" t="s" s="20">
        <v>64</v>
      </c>
      <c r="M11" s="17">
        <f t="shared" si="54"/>
        <v>0</v>
      </c>
      <c r="N11" t="s" s="20">
        <v>65</v>
      </c>
      <c r="O11" s="17">
        <f t="shared" si="54"/>
        <v>0</v>
      </c>
    </row>
  </sheetData>
  <mergeCells count="3">
    <mergeCell ref="F1:G1"/>
    <mergeCell ref="H1:I1"/>
    <mergeCell ref="J1:O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M158"/>
  <sheetViews>
    <sheetView workbookViewId="0" showGridLines="0" defaultGridColor="1"/>
  </sheetViews>
  <sheetFormatPr defaultColWidth="11" defaultRowHeight="15" customHeight="1" outlineLevelRow="0" outlineLevelCol="0"/>
  <cols>
    <col min="1" max="2" hidden="1" width="11" style="28" customWidth="1"/>
    <col min="3" max="3" width="14.1719" style="28" customWidth="1"/>
    <col min="4" max="4" width="38.5" style="28" customWidth="1"/>
    <col min="5" max="5" width="28.8516" style="28" customWidth="1"/>
    <col min="6" max="6" width="12" style="28" customWidth="1"/>
    <col min="7" max="7" width="16.6719" style="28" customWidth="1"/>
    <col min="8" max="8" width="14.8516" style="28" customWidth="1"/>
    <col min="9" max="10" width="25.6719" style="28" customWidth="1"/>
    <col min="11" max="11" width="18.6719" style="28" customWidth="1"/>
    <col min="12" max="12" width="19" style="28" customWidth="1"/>
    <col min="13" max="13" width="11" style="28" customWidth="1"/>
    <col min="14" max="16384" width="11" style="28" customWidth="1"/>
  </cols>
  <sheetData>
    <row r="1" ht="16" customHeight="1">
      <c r="A1" t="s" s="29">
        <v>67</v>
      </c>
      <c r="B1" t="s" s="29">
        <v>68</v>
      </c>
      <c r="C1" t="s" s="30">
        <v>69</v>
      </c>
      <c r="D1" t="s" s="30">
        <v>70</v>
      </c>
      <c r="E1" t="s" s="30">
        <v>71</v>
      </c>
      <c r="F1" t="s" s="30">
        <v>72</v>
      </c>
      <c r="G1" t="s" s="30">
        <v>73</v>
      </c>
      <c r="H1" t="s" s="30">
        <v>74</v>
      </c>
      <c r="I1" t="s" s="31">
        <v>75</v>
      </c>
      <c r="J1" t="s" s="31">
        <v>12</v>
      </c>
      <c r="K1" t="s" s="31">
        <v>76</v>
      </c>
      <c r="L1" s="32"/>
      <c r="M1" s="26"/>
    </row>
    <row r="2" ht="16" customHeight="1">
      <c r="A2" t="s" s="33">
        <v>77</v>
      </c>
      <c r="B2" s="34">
        <v>4</v>
      </c>
      <c r="C2" t="s" s="35">
        <f>MID(A2,2,3)</f>
        <v>78</v>
      </c>
      <c r="D2" t="s" s="35">
        <v>79</v>
      </c>
      <c r="E2" t="s" s="35">
        <v>80</v>
      </c>
      <c r="F2" t="s" s="36">
        <v>81</v>
      </c>
      <c r="G2" t="s" s="37">
        <v>82</v>
      </c>
      <c r="H2" t="s" s="37">
        <v>83</v>
      </c>
      <c r="I2" t="s" s="37">
        <v>75</v>
      </c>
      <c r="J2" t="s" s="38">
        <v>84</v>
      </c>
      <c r="K2" t="s" s="38">
        <v>85</v>
      </c>
      <c r="L2" t="s" s="39">
        <v>86</v>
      </c>
      <c r="M2" s="26"/>
    </row>
    <row r="3" ht="16" customHeight="1">
      <c r="A3" t="s" s="33">
        <v>87</v>
      </c>
      <c r="B3" s="34">
        <v>5</v>
      </c>
      <c r="C3" t="s" s="35">
        <f>MID(A3,2,3)</f>
        <v>88</v>
      </c>
      <c r="D3" t="s" s="35">
        <v>89</v>
      </c>
      <c r="E3" t="s" s="35">
        <v>90</v>
      </c>
      <c r="F3" t="s" s="40">
        <v>91</v>
      </c>
      <c r="G3" t="s" s="37">
        <v>82</v>
      </c>
      <c r="H3" t="s" s="37">
        <v>83</v>
      </c>
      <c r="I3" t="s" s="37">
        <v>75</v>
      </c>
      <c r="J3" t="s" s="38">
        <v>84</v>
      </c>
      <c r="K3" t="s" s="38">
        <v>85</v>
      </c>
      <c r="L3" t="s" s="39">
        <v>86</v>
      </c>
      <c r="M3" s="26"/>
    </row>
    <row r="4" ht="16" customHeight="1">
      <c r="A4" t="s" s="33">
        <v>92</v>
      </c>
      <c r="B4" s="34">
        <v>6</v>
      </c>
      <c r="C4" t="s" s="35">
        <f>MID(A4,2,3)</f>
        <v>93</v>
      </c>
      <c r="D4" t="s" s="35">
        <v>94</v>
      </c>
      <c r="E4" t="s" s="35">
        <v>95</v>
      </c>
      <c r="F4" t="s" s="41">
        <v>96</v>
      </c>
      <c r="G4" t="s" s="37">
        <v>97</v>
      </c>
      <c r="H4" t="s" s="37">
        <v>83</v>
      </c>
      <c r="I4" t="s" s="37">
        <v>75</v>
      </c>
      <c r="J4" t="s" s="38">
        <v>84</v>
      </c>
      <c r="K4" t="s" s="38">
        <v>85</v>
      </c>
      <c r="L4" t="s" s="39">
        <v>86</v>
      </c>
      <c r="M4" s="26"/>
    </row>
    <row r="5" ht="16" customHeight="1">
      <c r="A5" t="s" s="33">
        <v>98</v>
      </c>
      <c r="B5" s="34">
        <v>7</v>
      </c>
      <c r="C5" t="s" s="35">
        <f>MID(A5,2,3)</f>
        <v>99</v>
      </c>
      <c r="D5" t="s" s="35">
        <v>100</v>
      </c>
      <c r="E5" t="s" s="35">
        <v>101</v>
      </c>
      <c r="F5" t="s" s="42">
        <v>102</v>
      </c>
      <c r="G5" t="s" s="37">
        <v>103</v>
      </c>
      <c r="H5" t="s" s="37">
        <v>83</v>
      </c>
      <c r="I5" t="s" s="37">
        <v>75</v>
      </c>
      <c r="J5" t="s" s="43">
        <v>104</v>
      </c>
      <c r="K5" t="s" s="38">
        <v>105</v>
      </c>
      <c r="L5" t="s" s="39">
        <v>106</v>
      </c>
      <c r="M5" s="26"/>
    </row>
    <row r="6" ht="16" customHeight="1">
      <c r="A6" t="s" s="33">
        <v>107</v>
      </c>
      <c r="B6" s="34">
        <v>11</v>
      </c>
      <c r="C6" t="s" s="35">
        <f>MID(A6,2,3)</f>
        <v>108</v>
      </c>
      <c r="D6" t="s" s="35">
        <v>109</v>
      </c>
      <c r="E6" t="s" s="35">
        <v>110</v>
      </c>
      <c r="F6" t="s" s="44">
        <v>111</v>
      </c>
      <c r="G6" t="s" s="37">
        <v>112</v>
      </c>
      <c r="H6" t="s" s="37">
        <v>83</v>
      </c>
      <c r="I6" t="s" s="37">
        <v>75</v>
      </c>
      <c r="J6" t="s" s="38">
        <v>84</v>
      </c>
      <c r="K6" t="s" s="38">
        <v>85</v>
      </c>
      <c r="L6" t="s" s="39">
        <v>86</v>
      </c>
      <c r="M6" s="26"/>
    </row>
    <row r="7" ht="16" customHeight="1">
      <c r="A7" t="s" s="33">
        <v>113</v>
      </c>
      <c r="B7" s="34">
        <v>12</v>
      </c>
      <c r="C7" t="s" s="35">
        <f>MID(A7,2,3)</f>
        <v>114</v>
      </c>
      <c r="D7" t="s" s="35">
        <v>115</v>
      </c>
      <c r="E7" t="s" s="35">
        <v>116</v>
      </c>
      <c r="F7" t="s" s="45">
        <v>117</v>
      </c>
      <c r="G7" t="s" s="37">
        <v>118</v>
      </c>
      <c r="H7" t="s" s="37">
        <v>119</v>
      </c>
      <c r="I7" t="s" s="37">
        <v>75</v>
      </c>
      <c r="J7" t="s" s="43">
        <v>104</v>
      </c>
      <c r="K7" t="s" s="38">
        <v>105</v>
      </c>
      <c r="L7" t="s" s="39">
        <v>106</v>
      </c>
      <c r="M7" s="26"/>
    </row>
    <row r="8" ht="16" customHeight="1">
      <c r="A8" t="s" s="33">
        <v>120</v>
      </c>
      <c r="B8" s="34">
        <v>13</v>
      </c>
      <c r="C8" t="s" s="35">
        <f>MID(A8,2,3)</f>
        <v>121</v>
      </c>
      <c r="D8" t="s" s="35">
        <v>122</v>
      </c>
      <c r="E8" t="s" s="35">
        <v>123</v>
      </c>
      <c r="F8" t="s" s="46">
        <v>124</v>
      </c>
      <c r="G8" t="s" s="37">
        <v>125</v>
      </c>
      <c r="H8" t="s" s="37">
        <v>119</v>
      </c>
      <c r="I8" t="s" s="37">
        <v>75</v>
      </c>
      <c r="J8" t="s" s="43">
        <v>104</v>
      </c>
      <c r="K8" t="s" s="38">
        <v>105</v>
      </c>
      <c r="L8" t="s" s="39">
        <v>106</v>
      </c>
      <c r="M8" s="26"/>
    </row>
    <row r="9" ht="16" customHeight="1">
      <c r="A9" t="s" s="33">
        <v>126</v>
      </c>
      <c r="B9" s="34">
        <v>15</v>
      </c>
      <c r="C9" t="s" s="35">
        <f>MID(A9,2,3)</f>
        <v>127</v>
      </c>
      <c r="D9" t="s" s="35">
        <v>128</v>
      </c>
      <c r="E9" t="s" s="35">
        <v>129</v>
      </c>
      <c r="F9" t="s" s="47">
        <v>130</v>
      </c>
      <c r="G9" t="s" s="37">
        <v>112</v>
      </c>
      <c r="H9" t="s" s="37">
        <v>119</v>
      </c>
      <c r="I9" t="s" s="37">
        <v>75</v>
      </c>
      <c r="J9" t="s" s="43">
        <v>104</v>
      </c>
      <c r="K9" t="s" s="38">
        <v>105</v>
      </c>
      <c r="L9" t="s" s="39">
        <v>106</v>
      </c>
      <c r="M9" s="26"/>
    </row>
    <row r="10" ht="16" customHeight="1">
      <c r="A10" t="s" s="33">
        <v>131</v>
      </c>
      <c r="B10" s="34">
        <v>16</v>
      </c>
      <c r="C10" t="s" s="35">
        <f>MID(A10,2,3)</f>
        <v>132</v>
      </c>
      <c r="D10" t="s" s="35">
        <v>133</v>
      </c>
      <c r="E10" t="s" s="35">
        <v>134</v>
      </c>
      <c r="F10" t="s" s="48">
        <v>135</v>
      </c>
      <c r="G10" t="s" s="37">
        <v>97</v>
      </c>
      <c r="H10" t="s" s="37">
        <v>119</v>
      </c>
      <c r="I10" t="s" s="37">
        <v>75</v>
      </c>
      <c r="J10" t="s" s="43">
        <v>104</v>
      </c>
      <c r="K10" t="s" s="38">
        <v>105</v>
      </c>
      <c r="L10" t="s" s="39">
        <v>106</v>
      </c>
      <c r="M10" s="26"/>
    </row>
    <row r="11" ht="16" customHeight="1">
      <c r="A11" t="s" s="33">
        <v>136</v>
      </c>
      <c r="B11" s="34">
        <v>17</v>
      </c>
      <c r="C11" t="s" s="35">
        <f>MID(A11,2,3)</f>
        <v>137</v>
      </c>
      <c r="D11" t="s" s="35">
        <v>138</v>
      </c>
      <c r="E11" t="s" s="35">
        <v>139</v>
      </c>
      <c r="F11" t="s" s="49">
        <v>140</v>
      </c>
      <c r="G11" t="s" s="37">
        <v>82</v>
      </c>
      <c r="H11" t="s" s="37">
        <v>119</v>
      </c>
      <c r="I11" t="s" s="37">
        <v>75</v>
      </c>
      <c r="J11" t="s" s="43">
        <v>104</v>
      </c>
      <c r="K11" t="s" s="38">
        <v>105</v>
      </c>
      <c r="L11" t="s" s="39">
        <v>106</v>
      </c>
      <c r="M11" s="26"/>
    </row>
    <row r="12" ht="16" customHeight="1">
      <c r="A12" t="s" s="33">
        <v>141</v>
      </c>
      <c r="B12" s="34">
        <v>18</v>
      </c>
      <c r="C12" t="s" s="35">
        <f>MID(A12,2,3)</f>
        <v>142</v>
      </c>
      <c r="D12" t="s" s="35">
        <v>143</v>
      </c>
      <c r="E12" t="s" s="35">
        <v>144</v>
      </c>
      <c r="F12" t="s" s="50">
        <v>145</v>
      </c>
      <c r="G12" t="s" s="37">
        <v>82</v>
      </c>
      <c r="H12" t="s" s="37">
        <v>146</v>
      </c>
      <c r="I12" t="s" s="37">
        <v>75</v>
      </c>
      <c r="J12" t="s" s="38">
        <v>84</v>
      </c>
      <c r="K12" t="s" s="38">
        <v>85</v>
      </c>
      <c r="L12" t="s" s="39">
        <v>86</v>
      </c>
      <c r="M12" s="26"/>
    </row>
    <row r="13" ht="16" customHeight="1">
      <c r="A13" t="s" s="33">
        <v>147</v>
      </c>
      <c r="B13" s="34">
        <v>20</v>
      </c>
      <c r="C13" t="s" s="35">
        <f>MID(A13,2,3)</f>
        <v>148</v>
      </c>
      <c r="D13" t="s" s="35">
        <v>149</v>
      </c>
      <c r="E13" t="s" s="35">
        <v>150</v>
      </c>
      <c r="F13" t="s" s="51">
        <v>151</v>
      </c>
      <c r="G13" t="s" s="37">
        <v>82</v>
      </c>
      <c r="H13" t="s" s="37">
        <v>83</v>
      </c>
      <c r="I13" t="s" s="37">
        <v>75</v>
      </c>
      <c r="J13" t="s" s="38">
        <v>84</v>
      </c>
      <c r="K13" t="s" s="38">
        <v>85</v>
      </c>
      <c r="L13" t="s" s="39">
        <v>86</v>
      </c>
      <c r="M13" s="26"/>
    </row>
    <row r="14" ht="16" customHeight="1">
      <c r="A14" t="s" s="33">
        <v>152</v>
      </c>
      <c r="B14" s="34">
        <v>21</v>
      </c>
      <c r="C14" t="s" s="35">
        <f>MID(A14,2,3)</f>
        <v>153</v>
      </c>
      <c r="D14" t="s" s="35">
        <v>154</v>
      </c>
      <c r="E14" t="s" s="35">
        <v>155</v>
      </c>
      <c r="F14" t="s" s="52">
        <v>156</v>
      </c>
      <c r="G14" t="s" s="37">
        <v>157</v>
      </c>
      <c r="H14" t="s" s="37">
        <v>83</v>
      </c>
      <c r="I14" t="s" s="37">
        <v>75</v>
      </c>
      <c r="J14" t="s" s="38">
        <v>84</v>
      </c>
      <c r="K14" t="s" s="38">
        <v>85</v>
      </c>
      <c r="L14" t="s" s="39">
        <v>86</v>
      </c>
      <c r="M14" s="26"/>
    </row>
    <row r="15" ht="16" customHeight="1">
      <c r="A15" t="s" s="33">
        <v>158</v>
      </c>
      <c r="B15" s="34">
        <v>24</v>
      </c>
      <c r="C15" t="s" s="35">
        <f>MID(A15,2,3)</f>
        <v>159</v>
      </c>
      <c r="D15" t="s" s="35">
        <v>160</v>
      </c>
      <c r="E15" t="s" s="35">
        <v>161</v>
      </c>
      <c r="F15" t="s" s="53">
        <v>162</v>
      </c>
      <c r="G15" t="s" s="37">
        <v>112</v>
      </c>
      <c r="H15" t="s" s="37">
        <v>83</v>
      </c>
      <c r="I15" t="s" s="37">
        <v>75</v>
      </c>
      <c r="J15" t="s" s="38">
        <v>84</v>
      </c>
      <c r="K15" t="s" s="38">
        <v>85</v>
      </c>
      <c r="L15" t="s" s="39">
        <v>86</v>
      </c>
      <c r="M15" s="26"/>
    </row>
    <row r="16" ht="16" customHeight="1">
      <c r="A16" t="s" s="33">
        <v>163</v>
      </c>
      <c r="B16" s="34">
        <v>27</v>
      </c>
      <c r="C16" t="s" s="35">
        <f>MID(A16,2,3)</f>
        <v>164</v>
      </c>
      <c r="D16" t="s" s="35">
        <v>165</v>
      </c>
      <c r="E16" t="s" s="35">
        <v>166</v>
      </c>
      <c r="F16" t="s" s="54">
        <v>167</v>
      </c>
      <c r="G16" t="s" s="37">
        <v>157</v>
      </c>
      <c r="H16" t="s" s="37">
        <v>83</v>
      </c>
      <c r="I16" t="s" s="37">
        <v>75</v>
      </c>
      <c r="J16" t="s" s="38">
        <v>84</v>
      </c>
      <c r="K16" t="s" s="38">
        <v>85</v>
      </c>
      <c r="L16" t="s" s="39">
        <v>86</v>
      </c>
      <c r="M16" s="26"/>
    </row>
    <row r="17" ht="16" customHeight="1">
      <c r="A17" t="s" s="33">
        <v>168</v>
      </c>
      <c r="B17" s="34">
        <v>28</v>
      </c>
      <c r="C17" t="s" s="35">
        <f>MID(A17,2,3)</f>
        <v>169</v>
      </c>
      <c r="D17" t="s" s="35">
        <v>170</v>
      </c>
      <c r="E17" t="s" s="35">
        <v>171</v>
      </c>
      <c r="F17" t="s" s="55">
        <v>172</v>
      </c>
      <c r="G17" t="s" s="37">
        <v>173</v>
      </c>
      <c r="H17" t="s" s="37">
        <v>146</v>
      </c>
      <c r="I17" t="s" s="37">
        <v>75</v>
      </c>
      <c r="J17" t="s" s="38">
        <v>84</v>
      </c>
      <c r="K17" t="s" s="38">
        <v>85</v>
      </c>
      <c r="L17" t="s" s="39">
        <v>86</v>
      </c>
      <c r="M17" s="26"/>
    </row>
    <row r="18" ht="16" customHeight="1">
      <c r="A18" t="s" s="33">
        <v>174</v>
      </c>
      <c r="B18" s="34">
        <v>29</v>
      </c>
      <c r="C18" t="s" s="35">
        <f>MID(A18,2,3)</f>
        <v>175</v>
      </c>
      <c r="D18" t="s" s="35">
        <v>176</v>
      </c>
      <c r="E18" t="s" s="35">
        <v>177</v>
      </c>
      <c r="F18" t="s" s="56">
        <v>178</v>
      </c>
      <c r="G18" t="s" s="37">
        <v>112</v>
      </c>
      <c r="H18" t="s" s="37">
        <v>119</v>
      </c>
      <c r="I18" t="s" s="37">
        <v>75</v>
      </c>
      <c r="J18" t="s" s="43">
        <v>104</v>
      </c>
      <c r="K18" t="s" s="38">
        <v>105</v>
      </c>
      <c r="L18" s="32"/>
      <c r="M18" s="26"/>
    </row>
    <row r="19" ht="16" customHeight="1">
      <c r="A19" t="s" s="33">
        <v>179</v>
      </c>
      <c r="B19" s="34">
        <v>30</v>
      </c>
      <c r="C19" t="s" s="35">
        <f>MID(A19,2,3)</f>
        <v>180</v>
      </c>
      <c r="D19" t="s" s="35">
        <v>181</v>
      </c>
      <c r="E19" t="s" s="35">
        <v>182</v>
      </c>
      <c r="F19" t="s" s="57">
        <v>183</v>
      </c>
      <c r="G19" t="s" s="37">
        <v>97</v>
      </c>
      <c r="H19" t="s" s="37">
        <v>83</v>
      </c>
      <c r="I19" t="s" s="37">
        <v>75</v>
      </c>
      <c r="J19" t="s" s="38">
        <v>84</v>
      </c>
      <c r="K19" t="s" s="38">
        <v>85</v>
      </c>
      <c r="L19" s="32"/>
      <c r="M19" s="26"/>
    </row>
    <row r="20" ht="16" customHeight="1">
      <c r="A20" t="s" s="33">
        <v>184</v>
      </c>
      <c r="B20" s="34">
        <v>31</v>
      </c>
      <c r="C20" t="s" s="35">
        <f>MID(A20,2,3)</f>
        <v>185</v>
      </c>
      <c r="D20" t="s" s="35">
        <v>186</v>
      </c>
      <c r="E20" t="s" s="35">
        <v>187</v>
      </c>
      <c r="F20" t="s" s="58">
        <v>188</v>
      </c>
      <c r="G20" t="s" s="37">
        <v>82</v>
      </c>
      <c r="H20" t="s" s="37">
        <v>83</v>
      </c>
      <c r="I20" t="s" s="37">
        <v>75</v>
      </c>
      <c r="J20" t="s" s="38">
        <v>84</v>
      </c>
      <c r="K20" t="s" s="38">
        <v>85</v>
      </c>
      <c r="L20" s="32"/>
      <c r="M20" s="26"/>
    </row>
    <row r="21" ht="16" customHeight="1">
      <c r="A21" t="s" s="33">
        <v>189</v>
      </c>
      <c r="B21" s="34">
        <v>32</v>
      </c>
      <c r="C21" t="s" s="35">
        <f>MID(A21,2,3)</f>
        <v>190</v>
      </c>
      <c r="D21" t="s" s="35">
        <v>191</v>
      </c>
      <c r="E21" t="s" s="35">
        <v>192</v>
      </c>
      <c r="F21" t="s" s="59">
        <v>193</v>
      </c>
      <c r="G21" t="s" s="37">
        <v>82</v>
      </c>
      <c r="H21" t="s" s="37">
        <v>83</v>
      </c>
      <c r="I21" t="s" s="37">
        <v>75</v>
      </c>
      <c r="J21" t="s" s="38">
        <v>84</v>
      </c>
      <c r="K21" t="s" s="38">
        <v>85</v>
      </c>
      <c r="L21" s="32"/>
      <c r="M21" s="26"/>
    </row>
    <row r="22" ht="16" customHeight="1">
      <c r="A22" t="s" s="33">
        <v>194</v>
      </c>
      <c r="B22" s="34">
        <v>33</v>
      </c>
      <c r="C22" t="s" s="35">
        <f>MID(A22,2,3)</f>
        <v>195</v>
      </c>
      <c r="D22" t="s" s="35">
        <v>196</v>
      </c>
      <c r="E22" t="s" s="35">
        <v>197</v>
      </c>
      <c r="F22" t="s" s="60">
        <v>198</v>
      </c>
      <c r="G22" t="s" s="37">
        <v>97</v>
      </c>
      <c r="H22" t="s" s="37">
        <v>83</v>
      </c>
      <c r="I22" t="s" s="37">
        <v>75</v>
      </c>
      <c r="J22" t="s" s="38">
        <v>84</v>
      </c>
      <c r="K22" t="s" s="38">
        <v>85</v>
      </c>
      <c r="L22" s="32"/>
      <c r="M22" s="26"/>
    </row>
    <row r="23" ht="16" customHeight="1">
      <c r="A23" t="s" s="33">
        <v>199</v>
      </c>
      <c r="B23" s="34">
        <v>34</v>
      </c>
      <c r="C23" t="s" s="35">
        <f>MID(A23,2,3)</f>
        <v>200</v>
      </c>
      <c r="D23" t="s" s="35">
        <v>201</v>
      </c>
      <c r="E23" t="s" s="35">
        <v>202</v>
      </c>
      <c r="F23" t="s" s="61">
        <v>203</v>
      </c>
      <c r="G23" t="s" s="37">
        <v>112</v>
      </c>
      <c r="H23" t="s" s="37">
        <v>83</v>
      </c>
      <c r="I23" t="s" s="37">
        <v>75</v>
      </c>
      <c r="J23" t="s" s="38">
        <v>84</v>
      </c>
      <c r="K23" t="s" s="38">
        <v>85</v>
      </c>
      <c r="L23" s="32"/>
      <c r="M23" s="26"/>
    </row>
    <row r="24" ht="16" customHeight="1">
      <c r="A24" t="s" s="33">
        <v>204</v>
      </c>
      <c r="B24" s="34">
        <v>35</v>
      </c>
      <c r="C24" t="s" s="35">
        <f>MID(A24,2,3)</f>
        <v>205</v>
      </c>
      <c r="D24" t="s" s="35">
        <v>206</v>
      </c>
      <c r="E24" t="s" s="35">
        <v>207</v>
      </c>
      <c r="F24" t="s" s="62">
        <v>208</v>
      </c>
      <c r="G24" t="s" s="37">
        <v>82</v>
      </c>
      <c r="H24" t="s" s="37">
        <v>83</v>
      </c>
      <c r="I24" t="s" s="37">
        <v>75</v>
      </c>
      <c r="J24" t="s" s="38">
        <v>84</v>
      </c>
      <c r="K24" t="s" s="38">
        <v>85</v>
      </c>
      <c r="L24" s="32"/>
      <c r="M24" s="26"/>
    </row>
    <row r="25" ht="16" customHeight="1">
      <c r="A25" t="s" s="33">
        <v>209</v>
      </c>
      <c r="B25" s="34">
        <v>36</v>
      </c>
      <c r="C25" t="s" s="35">
        <f>MID(A25,2,3)</f>
        <v>210</v>
      </c>
      <c r="D25" t="s" s="35">
        <v>211</v>
      </c>
      <c r="E25" t="s" s="35">
        <v>212</v>
      </c>
      <c r="F25" t="s" s="63">
        <v>213</v>
      </c>
      <c r="G25" t="s" s="37">
        <v>214</v>
      </c>
      <c r="H25" t="s" s="37">
        <v>83</v>
      </c>
      <c r="I25" t="s" s="37">
        <v>75</v>
      </c>
      <c r="J25" t="s" s="38">
        <v>84</v>
      </c>
      <c r="K25" t="s" s="38">
        <v>85</v>
      </c>
      <c r="L25" s="32"/>
      <c r="M25" s="26"/>
    </row>
    <row r="26" ht="16" customHeight="1">
      <c r="A26" t="s" s="33">
        <v>215</v>
      </c>
      <c r="B26" s="34">
        <v>37</v>
      </c>
      <c r="C26" t="s" s="35">
        <f>MID(A26,2,3)</f>
        <v>216</v>
      </c>
      <c r="D26" t="s" s="35">
        <v>217</v>
      </c>
      <c r="E26" t="s" s="35">
        <v>218</v>
      </c>
      <c r="F26" t="s" s="64">
        <v>219</v>
      </c>
      <c r="G26" t="s" s="37">
        <v>82</v>
      </c>
      <c r="H26" t="s" s="37">
        <v>83</v>
      </c>
      <c r="I26" t="s" s="37">
        <v>75</v>
      </c>
      <c r="J26" t="s" s="38">
        <v>84</v>
      </c>
      <c r="K26" t="s" s="38">
        <v>85</v>
      </c>
      <c r="L26" s="32"/>
      <c r="M26" s="26"/>
    </row>
    <row r="27" ht="16" customHeight="1">
      <c r="A27" t="s" s="33">
        <v>220</v>
      </c>
      <c r="B27" s="34">
        <v>38</v>
      </c>
      <c r="C27" t="s" s="35">
        <f>MID(A27,2,3)</f>
        <v>221</v>
      </c>
      <c r="D27" t="s" s="35">
        <v>222</v>
      </c>
      <c r="E27" t="s" s="35">
        <v>223</v>
      </c>
      <c r="F27" t="s" s="65">
        <v>224</v>
      </c>
      <c r="G27" t="s" s="37">
        <v>97</v>
      </c>
      <c r="H27" t="s" s="37">
        <v>83</v>
      </c>
      <c r="I27" t="s" s="37">
        <v>75</v>
      </c>
      <c r="J27" t="s" s="38">
        <v>84</v>
      </c>
      <c r="K27" t="s" s="38">
        <v>85</v>
      </c>
      <c r="L27" s="32"/>
      <c r="M27" s="26"/>
    </row>
    <row r="28" ht="16" customHeight="1">
      <c r="A28" t="s" s="33">
        <v>225</v>
      </c>
      <c r="B28" s="34">
        <v>39</v>
      </c>
      <c r="C28" t="s" s="35">
        <f>MID(A28,2,3)</f>
        <v>226</v>
      </c>
      <c r="D28" t="s" s="35">
        <v>227</v>
      </c>
      <c r="E28" t="s" s="35">
        <v>228</v>
      </c>
      <c r="F28" t="s" s="66">
        <v>229</v>
      </c>
      <c r="G28" t="s" s="37">
        <v>97</v>
      </c>
      <c r="H28" t="s" s="37">
        <v>146</v>
      </c>
      <c r="I28" t="s" s="37">
        <v>75</v>
      </c>
      <c r="J28" t="s" s="38">
        <v>84</v>
      </c>
      <c r="K28" t="s" s="38">
        <v>85</v>
      </c>
      <c r="L28" s="32"/>
      <c r="M28" s="26"/>
    </row>
    <row r="29" ht="16" customHeight="1">
      <c r="A29" t="s" s="33">
        <v>230</v>
      </c>
      <c r="B29" s="34">
        <v>40</v>
      </c>
      <c r="C29" t="s" s="35">
        <f>MID(A29,2,3)</f>
        <v>231</v>
      </c>
      <c r="D29" t="s" s="35">
        <v>232</v>
      </c>
      <c r="E29" t="s" s="35">
        <v>233</v>
      </c>
      <c r="F29" t="s" s="67">
        <v>234</v>
      </c>
      <c r="G29" t="s" s="37">
        <v>82</v>
      </c>
      <c r="H29" t="s" s="37">
        <v>83</v>
      </c>
      <c r="I29" t="s" s="37">
        <v>75</v>
      </c>
      <c r="J29" t="s" s="38">
        <v>84</v>
      </c>
      <c r="K29" t="s" s="38">
        <v>85</v>
      </c>
      <c r="L29" s="32"/>
      <c r="M29" s="26"/>
    </row>
    <row r="30" ht="16" customHeight="1">
      <c r="A30" t="s" s="33">
        <v>235</v>
      </c>
      <c r="B30" s="34">
        <v>41</v>
      </c>
      <c r="C30" t="s" s="35">
        <f>MID(A30,2,3)</f>
        <v>236</v>
      </c>
      <c r="D30" t="s" s="35">
        <v>237</v>
      </c>
      <c r="E30" t="s" s="35">
        <v>238</v>
      </c>
      <c r="F30" t="s" s="68">
        <v>239</v>
      </c>
      <c r="G30" t="s" s="37">
        <v>82</v>
      </c>
      <c r="H30" t="s" s="37">
        <v>83</v>
      </c>
      <c r="I30" t="s" s="37">
        <v>75</v>
      </c>
      <c r="J30" t="s" s="38">
        <v>84</v>
      </c>
      <c r="K30" t="s" s="38">
        <v>85</v>
      </c>
      <c r="L30" s="32"/>
      <c r="M30" s="26"/>
    </row>
    <row r="31" ht="16" customHeight="1">
      <c r="A31" t="s" s="33">
        <v>240</v>
      </c>
      <c r="B31" s="34">
        <v>42</v>
      </c>
      <c r="C31" t="s" s="35">
        <f>MID(A31,2,3)</f>
        <v>241</v>
      </c>
      <c r="D31" t="s" s="35">
        <v>242</v>
      </c>
      <c r="E31" t="s" s="35">
        <v>243</v>
      </c>
      <c r="F31" t="s" s="69">
        <v>244</v>
      </c>
      <c r="G31" t="s" s="37">
        <v>97</v>
      </c>
      <c r="H31" t="s" s="37">
        <v>146</v>
      </c>
      <c r="I31" t="s" s="37">
        <v>75</v>
      </c>
      <c r="J31" t="s" s="38">
        <v>84</v>
      </c>
      <c r="K31" t="s" s="38">
        <v>85</v>
      </c>
      <c r="L31" s="32"/>
      <c r="M31" s="26"/>
    </row>
    <row r="32" ht="16" customHeight="1">
      <c r="A32" t="s" s="33">
        <v>245</v>
      </c>
      <c r="B32" s="34">
        <v>43</v>
      </c>
      <c r="C32" t="s" s="35">
        <f>MID(A32,2,3)</f>
        <v>246</v>
      </c>
      <c r="D32" t="s" s="35">
        <v>247</v>
      </c>
      <c r="E32" t="s" s="35">
        <v>248</v>
      </c>
      <c r="F32" t="s" s="70">
        <v>249</v>
      </c>
      <c r="G32" t="s" s="37">
        <v>112</v>
      </c>
      <c r="H32" t="s" s="37">
        <v>146</v>
      </c>
      <c r="I32" t="s" s="37">
        <v>75</v>
      </c>
      <c r="J32" t="s" s="38">
        <v>84</v>
      </c>
      <c r="K32" t="s" s="38">
        <v>85</v>
      </c>
      <c r="L32" s="32"/>
      <c r="M32" s="26"/>
    </row>
    <row r="33" ht="16" customHeight="1">
      <c r="A33" t="s" s="33">
        <v>250</v>
      </c>
      <c r="B33" s="34">
        <v>44</v>
      </c>
      <c r="C33" t="s" s="35">
        <f>MID(A33,2,3)</f>
        <v>251</v>
      </c>
      <c r="D33" t="s" s="35">
        <v>252</v>
      </c>
      <c r="E33" t="s" s="35">
        <v>253</v>
      </c>
      <c r="F33" t="s" s="71">
        <v>254</v>
      </c>
      <c r="G33" t="s" s="37">
        <v>255</v>
      </c>
      <c r="H33" t="s" s="37">
        <v>83</v>
      </c>
      <c r="I33" t="s" s="37">
        <v>75</v>
      </c>
      <c r="J33" t="s" s="38">
        <v>84</v>
      </c>
      <c r="K33" t="s" s="38">
        <v>85</v>
      </c>
      <c r="L33" s="32"/>
      <c r="M33" s="26"/>
    </row>
    <row r="34" ht="16" customHeight="1">
      <c r="A34" t="s" s="33">
        <v>256</v>
      </c>
      <c r="B34" s="34">
        <v>45</v>
      </c>
      <c r="C34" t="s" s="35">
        <f>MID(A34,2,3)</f>
        <v>257</v>
      </c>
      <c r="D34" t="s" s="35">
        <v>258</v>
      </c>
      <c r="E34" t="s" s="35">
        <v>259</v>
      </c>
      <c r="F34" t="s" s="72">
        <v>260</v>
      </c>
      <c r="G34" t="s" s="37">
        <v>112</v>
      </c>
      <c r="H34" t="s" s="37">
        <v>83</v>
      </c>
      <c r="I34" t="s" s="37">
        <v>75</v>
      </c>
      <c r="J34" t="s" s="38">
        <v>84</v>
      </c>
      <c r="K34" t="s" s="38">
        <v>85</v>
      </c>
      <c r="L34" s="32"/>
      <c r="M34" s="26"/>
    </row>
    <row r="35" ht="16" customHeight="1">
      <c r="A35" t="s" s="33">
        <v>261</v>
      </c>
      <c r="B35" s="34">
        <v>46</v>
      </c>
      <c r="C35" t="s" s="35">
        <f>MID(A35,2,3)</f>
        <v>262</v>
      </c>
      <c r="D35" t="s" s="35">
        <v>263</v>
      </c>
      <c r="E35" t="s" s="35">
        <v>264</v>
      </c>
      <c r="F35" t="s" s="73">
        <v>265</v>
      </c>
      <c r="G35" t="s" s="37">
        <v>157</v>
      </c>
      <c r="H35" t="s" s="37">
        <v>83</v>
      </c>
      <c r="I35" t="s" s="37">
        <v>75</v>
      </c>
      <c r="J35" t="s" s="38">
        <v>84</v>
      </c>
      <c r="K35" t="s" s="38">
        <v>85</v>
      </c>
      <c r="L35" s="32"/>
      <c r="M35" s="26"/>
    </row>
    <row r="36" ht="16" customHeight="1">
      <c r="A36" t="s" s="33">
        <v>266</v>
      </c>
      <c r="B36" s="34">
        <v>47</v>
      </c>
      <c r="C36" t="s" s="35">
        <f>MID(A36,2,3)</f>
        <v>267</v>
      </c>
      <c r="D36" t="s" s="35">
        <v>268</v>
      </c>
      <c r="E36" t="s" s="35">
        <v>269</v>
      </c>
      <c r="F36" t="s" s="74">
        <v>270</v>
      </c>
      <c r="G36" t="s" s="37">
        <v>112</v>
      </c>
      <c r="H36" t="s" s="37">
        <v>83</v>
      </c>
      <c r="I36" t="s" s="37">
        <v>75</v>
      </c>
      <c r="J36" t="s" s="38">
        <v>84</v>
      </c>
      <c r="K36" t="s" s="38">
        <v>85</v>
      </c>
      <c r="L36" s="32"/>
      <c r="M36" s="26"/>
    </row>
    <row r="37" ht="16" customHeight="1">
      <c r="A37" t="s" s="33">
        <v>271</v>
      </c>
      <c r="B37" s="34">
        <v>48</v>
      </c>
      <c r="C37" t="s" s="35">
        <f>MID(A37,2,3)</f>
        <v>272</v>
      </c>
      <c r="D37" t="s" s="35">
        <v>273</v>
      </c>
      <c r="E37" t="s" s="35">
        <v>274</v>
      </c>
      <c r="F37" t="s" s="75">
        <v>275</v>
      </c>
      <c r="G37" t="s" s="37">
        <v>255</v>
      </c>
      <c r="H37" t="s" s="37">
        <v>83</v>
      </c>
      <c r="I37" t="s" s="37">
        <v>75</v>
      </c>
      <c r="J37" t="s" s="38">
        <v>84</v>
      </c>
      <c r="K37" t="s" s="38">
        <v>85</v>
      </c>
      <c r="L37" s="32"/>
      <c r="M37" s="26"/>
    </row>
    <row r="38" ht="16" customHeight="1">
      <c r="A38" t="s" s="33">
        <v>276</v>
      </c>
      <c r="B38" s="34">
        <v>49</v>
      </c>
      <c r="C38" t="s" s="35">
        <f>MID(A38,2,3)</f>
        <v>277</v>
      </c>
      <c r="D38" t="s" s="35">
        <v>278</v>
      </c>
      <c r="E38" t="s" s="35">
        <v>279</v>
      </c>
      <c r="F38" t="s" s="76">
        <v>280</v>
      </c>
      <c r="G38" t="s" s="37">
        <v>82</v>
      </c>
      <c r="H38" t="s" s="37">
        <v>83</v>
      </c>
      <c r="I38" t="s" s="37">
        <v>75</v>
      </c>
      <c r="J38" t="s" s="38">
        <v>84</v>
      </c>
      <c r="K38" t="s" s="38">
        <v>85</v>
      </c>
      <c r="L38" s="32"/>
      <c r="M38" s="26"/>
    </row>
    <row r="39" ht="16" customHeight="1">
      <c r="A39" t="s" s="33">
        <v>281</v>
      </c>
      <c r="B39" s="34">
        <v>50</v>
      </c>
      <c r="C39" t="s" s="35">
        <f>MID(A39,2,3)</f>
        <v>282</v>
      </c>
      <c r="D39" t="s" s="35">
        <v>283</v>
      </c>
      <c r="E39" t="s" s="35">
        <v>284</v>
      </c>
      <c r="F39" t="s" s="77">
        <v>285</v>
      </c>
      <c r="G39" t="s" s="37">
        <v>82</v>
      </c>
      <c r="H39" t="s" s="37">
        <v>83</v>
      </c>
      <c r="I39" t="s" s="37">
        <v>75</v>
      </c>
      <c r="J39" t="s" s="38">
        <v>84</v>
      </c>
      <c r="K39" t="s" s="38">
        <v>85</v>
      </c>
      <c r="L39" s="32"/>
      <c r="M39" s="26"/>
    </row>
    <row r="40" ht="16" customHeight="1">
      <c r="A40" t="s" s="33">
        <v>286</v>
      </c>
      <c r="B40" s="34">
        <v>51</v>
      </c>
      <c r="C40" t="s" s="35">
        <f>MID(A40,2,3)</f>
        <v>287</v>
      </c>
      <c r="D40" t="s" s="35">
        <v>288</v>
      </c>
      <c r="E40" t="s" s="35">
        <v>289</v>
      </c>
      <c r="F40" t="s" s="78">
        <v>290</v>
      </c>
      <c r="G40" t="s" s="37">
        <v>82</v>
      </c>
      <c r="H40" t="s" s="37">
        <v>83</v>
      </c>
      <c r="I40" t="s" s="37">
        <v>75</v>
      </c>
      <c r="J40" t="s" s="38">
        <v>84</v>
      </c>
      <c r="K40" t="s" s="38">
        <v>85</v>
      </c>
      <c r="L40" s="32"/>
      <c r="M40" s="26"/>
    </row>
    <row r="41" ht="19" customHeight="1">
      <c r="A41" t="s" s="33">
        <v>291</v>
      </c>
      <c r="B41" s="34">
        <v>52</v>
      </c>
      <c r="C41" t="s" s="35">
        <f>MID(A41,2,3)</f>
        <v>292</v>
      </c>
      <c r="D41" t="s" s="35">
        <v>293</v>
      </c>
      <c r="E41" t="s" s="35">
        <v>294</v>
      </c>
      <c r="F41" t="s" s="79">
        <v>295</v>
      </c>
      <c r="G41" t="s" s="37">
        <v>214</v>
      </c>
      <c r="H41" t="s" s="37">
        <v>83</v>
      </c>
      <c r="I41" t="s" s="37">
        <v>75</v>
      </c>
      <c r="J41" t="s" s="38">
        <v>84</v>
      </c>
      <c r="K41" t="s" s="38">
        <v>85</v>
      </c>
      <c r="L41" s="32"/>
      <c r="M41" s="26"/>
    </row>
    <row r="42" ht="16" customHeight="1">
      <c r="A42" t="s" s="33">
        <v>296</v>
      </c>
      <c r="B42" s="34">
        <v>53</v>
      </c>
      <c r="C42" t="s" s="35">
        <f>MID(A42,2,3)</f>
        <v>297</v>
      </c>
      <c r="D42" t="s" s="35">
        <v>298</v>
      </c>
      <c r="E42" t="s" s="35">
        <v>299</v>
      </c>
      <c r="F42" t="s" s="80">
        <v>300</v>
      </c>
      <c r="G42" t="s" s="37">
        <v>118</v>
      </c>
      <c r="H42" t="s" s="37">
        <v>83</v>
      </c>
      <c r="I42" t="s" s="37">
        <v>75</v>
      </c>
      <c r="J42" t="s" s="38">
        <v>84</v>
      </c>
      <c r="K42" t="s" s="38">
        <v>85</v>
      </c>
      <c r="L42" s="32"/>
      <c r="M42" s="26"/>
    </row>
    <row r="43" ht="16" customHeight="1">
      <c r="A43" t="s" s="33">
        <v>301</v>
      </c>
      <c r="B43" s="34">
        <v>54</v>
      </c>
      <c r="C43" t="s" s="35">
        <f>MID(A43,2,3)</f>
        <v>302</v>
      </c>
      <c r="D43" t="s" s="35">
        <v>303</v>
      </c>
      <c r="E43" t="s" s="35">
        <v>304</v>
      </c>
      <c r="F43" t="s" s="81">
        <v>305</v>
      </c>
      <c r="G43" t="s" s="37">
        <v>112</v>
      </c>
      <c r="H43" t="s" s="37">
        <v>83</v>
      </c>
      <c r="I43" t="s" s="37">
        <v>75</v>
      </c>
      <c r="J43" t="s" s="38">
        <v>84</v>
      </c>
      <c r="K43" t="s" s="38">
        <v>85</v>
      </c>
      <c r="L43" s="32"/>
      <c r="M43" s="26"/>
    </row>
    <row r="44" ht="16" customHeight="1">
      <c r="A44" t="s" s="33">
        <v>306</v>
      </c>
      <c r="B44" s="34">
        <v>55</v>
      </c>
      <c r="C44" t="s" s="35">
        <f>MID(A44,2,3)</f>
        <v>307</v>
      </c>
      <c r="D44" t="s" s="35">
        <v>308</v>
      </c>
      <c r="E44" t="s" s="35">
        <v>309</v>
      </c>
      <c r="F44" t="s" s="82">
        <v>310</v>
      </c>
      <c r="G44" t="s" s="37">
        <v>118</v>
      </c>
      <c r="H44" t="s" s="37">
        <v>83</v>
      </c>
      <c r="I44" t="s" s="37">
        <v>75</v>
      </c>
      <c r="J44" t="s" s="38">
        <v>84</v>
      </c>
      <c r="K44" t="s" s="38">
        <v>85</v>
      </c>
      <c r="L44" s="32"/>
      <c r="M44" s="26"/>
    </row>
    <row r="45" ht="16" customHeight="1">
      <c r="A45" t="s" s="33">
        <v>311</v>
      </c>
      <c r="B45" s="34">
        <v>56</v>
      </c>
      <c r="C45" t="s" s="35">
        <f>MID(A45,2,3)</f>
        <v>312</v>
      </c>
      <c r="D45" t="s" s="35">
        <v>313</v>
      </c>
      <c r="E45" t="s" s="83">
        <v>314</v>
      </c>
      <c r="F45" t="s" s="84">
        <v>315</v>
      </c>
      <c r="G45" t="s" s="37">
        <v>97</v>
      </c>
      <c r="H45" t="s" s="37">
        <v>83</v>
      </c>
      <c r="I45" t="s" s="37">
        <v>75</v>
      </c>
      <c r="J45" t="s" s="38">
        <v>84</v>
      </c>
      <c r="K45" t="s" s="38">
        <v>85</v>
      </c>
      <c r="L45" s="32"/>
      <c r="M45" s="26"/>
    </row>
    <row r="46" ht="16" customHeight="1">
      <c r="A46" t="s" s="33">
        <v>316</v>
      </c>
      <c r="B46" s="34">
        <v>57</v>
      </c>
      <c r="C46" t="s" s="35">
        <f>MID(A46,2,3)</f>
        <v>317</v>
      </c>
      <c r="D46" t="s" s="35">
        <v>318</v>
      </c>
      <c r="E46" t="s" s="85">
        <v>319</v>
      </c>
      <c r="F46" t="s" s="86">
        <v>320</v>
      </c>
      <c r="G46" t="s" s="37">
        <v>255</v>
      </c>
      <c r="H46" t="s" s="37">
        <v>83</v>
      </c>
      <c r="I46" t="s" s="37">
        <v>75</v>
      </c>
      <c r="J46" t="s" s="38">
        <v>84</v>
      </c>
      <c r="K46" t="s" s="38">
        <v>85</v>
      </c>
      <c r="L46" s="32"/>
      <c r="M46" s="26"/>
    </row>
    <row r="47" ht="16" customHeight="1">
      <c r="A47" t="s" s="33">
        <v>321</v>
      </c>
      <c r="B47" s="34">
        <v>58</v>
      </c>
      <c r="C47" t="s" s="35">
        <f>MID(A47,2,3)</f>
        <v>322</v>
      </c>
      <c r="D47" t="s" s="35">
        <v>323</v>
      </c>
      <c r="E47" t="s" s="35">
        <v>324</v>
      </c>
      <c r="F47" t="s" s="87">
        <v>325</v>
      </c>
      <c r="G47" t="s" s="37">
        <v>97</v>
      </c>
      <c r="H47" t="s" s="37">
        <v>83</v>
      </c>
      <c r="I47" t="s" s="37">
        <v>75</v>
      </c>
      <c r="J47" t="s" s="38">
        <v>84</v>
      </c>
      <c r="K47" t="s" s="38">
        <v>85</v>
      </c>
      <c r="L47" s="32"/>
      <c r="M47" s="26"/>
    </row>
    <row r="48" ht="16" customHeight="1">
      <c r="A48" t="s" s="33">
        <v>326</v>
      </c>
      <c r="B48" s="34">
        <v>59</v>
      </c>
      <c r="C48" t="s" s="35">
        <f>MID(A48,2,3)</f>
        <v>327</v>
      </c>
      <c r="D48" t="s" s="35">
        <v>328</v>
      </c>
      <c r="E48" t="s" s="35">
        <v>329</v>
      </c>
      <c r="F48" t="s" s="88">
        <v>330</v>
      </c>
      <c r="G48" t="s" s="37">
        <v>82</v>
      </c>
      <c r="H48" t="s" s="37">
        <v>83</v>
      </c>
      <c r="I48" t="s" s="37">
        <v>75</v>
      </c>
      <c r="J48" t="s" s="38">
        <v>84</v>
      </c>
      <c r="K48" t="s" s="38">
        <v>85</v>
      </c>
      <c r="L48" s="32"/>
      <c r="M48" s="26"/>
    </row>
    <row r="49" ht="16" customHeight="1">
      <c r="A49" t="s" s="33">
        <v>331</v>
      </c>
      <c r="B49" s="34">
        <v>60</v>
      </c>
      <c r="C49" t="s" s="35">
        <f>MID(A49,2,3)</f>
        <v>332</v>
      </c>
      <c r="D49" t="s" s="35">
        <v>333</v>
      </c>
      <c r="E49" t="s" s="35">
        <v>334</v>
      </c>
      <c r="F49" t="s" s="89">
        <v>335</v>
      </c>
      <c r="G49" t="s" s="37">
        <v>112</v>
      </c>
      <c r="H49" t="s" s="37">
        <v>83</v>
      </c>
      <c r="I49" t="s" s="37">
        <v>75</v>
      </c>
      <c r="J49" t="s" s="38">
        <v>84</v>
      </c>
      <c r="K49" t="s" s="38">
        <v>85</v>
      </c>
      <c r="L49" s="32"/>
      <c r="M49" s="26"/>
    </row>
    <row r="50" ht="16" customHeight="1">
      <c r="A50" t="s" s="33">
        <v>336</v>
      </c>
      <c r="B50" s="34">
        <v>61</v>
      </c>
      <c r="C50" t="s" s="35">
        <f>MID(A50,2,3)</f>
        <v>337</v>
      </c>
      <c r="D50" t="s" s="35">
        <v>338</v>
      </c>
      <c r="E50" t="s" s="35">
        <v>339</v>
      </c>
      <c r="F50" t="s" s="90">
        <v>340</v>
      </c>
      <c r="G50" t="s" s="37">
        <v>82</v>
      </c>
      <c r="H50" t="s" s="37">
        <v>146</v>
      </c>
      <c r="I50" t="s" s="37">
        <v>75</v>
      </c>
      <c r="J50" t="s" s="38">
        <v>84</v>
      </c>
      <c r="K50" t="s" s="38">
        <v>85</v>
      </c>
      <c r="L50" s="32"/>
      <c r="M50" s="26"/>
    </row>
    <row r="51" ht="16" customHeight="1">
      <c r="A51" t="s" s="33">
        <v>341</v>
      </c>
      <c r="B51" s="34">
        <v>62</v>
      </c>
      <c r="C51" t="s" s="35">
        <f>MID(A51,2,3)</f>
        <v>342</v>
      </c>
      <c r="D51" t="s" s="35">
        <v>343</v>
      </c>
      <c r="E51" t="s" s="35">
        <v>344</v>
      </c>
      <c r="F51" t="s" s="91">
        <v>345</v>
      </c>
      <c r="G51" t="s" s="37">
        <v>82</v>
      </c>
      <c r="H51" t="s" s="37">
        <v>83</v>
      </c>
      <c r="I51" t="s" s="37">
        <v>75</v>
      </c>
      <c r="J51" t="s" s="38">
        <v>84</v>
      </c>
      <c r="K51" t="s" s="38">
        <v>85</v>
      </c>
      <c r="L51" s="32"/>
      <c r="M51" s="26"/>
    </row>
    <row r="52" ht="16" customHeight="1">
      <c r="A52" t="s" s="33">
        <v>346</v>
      </c>
      <c r="B52" s="34">
        <v>63</v>
      </c>
      <c r="C52" t="s" s="35">
        <f>MID(A52,2,3)</f>
        <v>347</v>
      </c>
      <c r="D52" t="s" s="35">
        <v>348</v>
      </c>
      <c r="E52" t="s" s="35">
        <v>349</v>
      </c>
      <c r="F52" t="s" s="92">
        <v>350</v>
      </c>
      <c r="G52" t="s" s="37">
        <v>97</v>
      </c>
      <c r="H52" t="s" s="37">
        <v>83</v>
      </c>
      <c r="I52" t="s" s="37">
        <v>75</v>
      </c>
      <c r="J52" t="s" s="38">
        <v>84</v>
      </c>
      <c r="K52" t="s" s="38">
        <v>85</v>
      </c>
      <c r="L52" s="32"/>
      <c r="M52" s="26"/>
    </row>
    <row r="53" ht="16" customHeight="1">
      <c r="A53" t="s" s="33">
        <v>351</v>
      </c>
      <c r="B53" s="34">
        <v>64</v>
      </c>
      <c r="C53" t="s" s="35">
        <f>MID(A53,2,3)</f>
        <v>352</v>
      </c>
      <c r="D53" t="s" s="35">
        <v>353</v>
      </c>
      <c r="E53" t="s" s="35">
        <v>354</v>
      </c>
      <c r="F53" t="s" s="93">
        <v>355</v>
      </c>
      <c r="G53" t="s" s="37">
        <v>82</v>
      </c>
      <c r="H53" t="s" s="37">
        <v>83</v>
      </c>
      <c r="I53" t="s" s="37">
        <v>75</v>
      </c>
      <c r="J53" t="s" s="38">
        <v>84</v>
      </c>
      <c r="K53" t="s" s="38">
        <v>85</v>
      </c>
      <c r="L53" s="32"/>
      <c r="M53" s="26"/>
    </row>
    <row r="54" ht="16" customHeight="1">
      <c r="A54" t="s" s="33">
        <v>356</v>
      </c>
      <c r="B54" s="34">
        <v>65</v>
      </c>
      <c r="C54" t="s" s="35">
        <f>MID(A54,2,3)</f>
        <v>357</v>
      </c>
      <c r="D54" t="s" s="35">
        <v>358</v>
      </c>
      <c r="E54" t="s" s="35">
        <v>359</v>
      </c>
      <c r="F54" t="s" s="94">
        <v>360</v>
      </c>
      <c r="G54" t="s" s="37">
        <v>112</v>
      </c>
      <c r="H54" t="s" s="37">
        <v>146</v>
      </c>
      <c r="I54" t="s" s="37">
        <v>75</v>
      </c>
      <c r="J54" t="s" s="38">
        <v>84</v>
      </c>
      <c r="K54" t="s" s="38">
        <v>85</v>
      </c>
      <c r="L54" s="32"/>
      <c r="M54" s="26"/>
    </row>
    <row r="55" ht="16" customHeight="1">
      <c r="A55" t="s" s="33">
        <v>361</v>
      </c>
      <c r="B55" s="34">
        <v>66</v>
      </c>
      <c r="C55" t="s" s="35">
        <f>MID(A55,2,3)</f>
        <v>362</v>
      </c>
      <c r="D55" t="s" s="35">
        <v>363</v>
      </c>
      <c r="E55" t="s" s="35">
        <v>364</v>
      </c>
      <c r="F55" t="s" s="95">
        <v>365</v>
      </c>
      <c r="G55" t="s" s="37">
        <v>255</v>
      </c>
      <c r="H55" t="s" s="37">
        <v>83</v>
      </c>
      <c r="I55" t="s" s="37">
        <v>75</v>
      </c>
      <c r="J55" t="s" s="38">
        <v>84</v>
      </c>
      <c r="K55" t="s" s="38">
        <v>85</v>
      </c>
      <c r="L55" s="32"/>
      <c r="M55" s="26"/>
    </row>
    <row r="56" ht="16" customHeight="1">
      <c r="A56" t="s" s="33">
        <v>366</v>
      </c>
      <c r="B56" s="34">
        <v>67</v>
      </c>
      <c r="C56" t="s" s="35">
        <f>MID(A56,2,3)</f>
        <v>367</v>
      </c>
      <c r="D56" t="s" s="35">
        <v>368</v>
      </c>
      <c r="E56" t="s" s="35">
        <v>369</v>
      </c>
      <c r="F56" t="s" s="96">
        <v>370</v>
      </c>
      <c r="G56" t="s" s="37">
        <v>82</v>
      </c>
      <c r="H56" t="s" s="37">
        <v>146</v>
      </c>
      <c r="I56" t="s" s="37">
        <v>75</v>
      </c>
      <c r="J56" t="s" s="38">
        <v>84</v>
      </c>
      <c r="K56" t="s" s="38">
        <v>85</v>
      </c>
      <c r="L56" s="32"/>
      <c r="M56" s="26"/>
    </row>
    <row r="57" ht="16" customHeight="1">
      <c r="A57" t="s" s="33">
        <v>371</v>
      </c>
      <c r="B57" s="34">
        <v>68</v>
      </c>
      <c r="C57" t="s" s="35">
        <f>MID(A57,2,3)</f>
        <v>372</v>
      </c>
      <c r="D57" t="s" s="35">
        <v>373</v>
      </c>
      <c r="E57" t="s" s="35">
        <v>374</v>
      </c>
      <c r="F57" t="s" s="97">
        <v>375</v>
      </c>
      <c r="G57" t="s" s="37">
        <v>112</v>
      </c>
      <c r="H57" t="s" s="37">
        <v>83</v>
      </c>
      <c r="I57" t="s" s="37">
        <v>75</v>
      </c>
      <c r="J57" t="s" s="38">
        <v>84</v>
      </c>
      <c r="K57" t="s" s="38">
        <v>85</v>
      </c>
      <c r="L57" s="32"/>
      <c r="M57" s="26"/>
    </row>
    <row r="58" ht="16" customHeight="1">
      <c r="A58" t="s" s="33">
        <v>376</v>
      </c>
      <c r="B58" s="34">
        <v>69</v>
      </c>
      <c r="C58" t="s" s="35">
        <f>MID(A58,2,3)</f>
        <v>377</v>
      </c>
      <c r="D58" t="s" s="35">
        <v>378</v>
      </c>
      <c r="E58" t="s" s="98">
        <v>379</v>
      </c>
      <c r="F58" t="s" s="99">
        <v>380</v>
      </c>
      <c r="G58" t="s" s="37">
        <v>118</v>
      </c>
      <c r="H58" t="s" s="37">
        <v>83</v>
      </c>
      <c r="I58" t="s" s="37">
        <v>75</v>
      </c>
      <c r="J58" t="s" s="38">
        <v>84</v>
      </c>
      <c r="K58" t="s" s="38">
        <v>85</v>
      </c>
      <c r="L58" s="32"/>
      <c r="M58" s="26"/>
    </row>
    <row r="59" ht="16" customHeight="1">
      <c r="A59" t="s" s="33">
        <v>381</v>
      </c>
      <c r="B59" s="34">
        <v>70</v>
      </c>
      <c r="C59" t="s" s="35">
        <f>MID(A59,2,3)</f>
        <v>382</v>
      </c>
      <c r="D59" t="s" s="35">
        <v>383</v>
      </c>
      <c r="E59" t="s" s="35">
        <v>384</v>
      </c>
      <c r="F59" t="s" s="100">
        <v>385</v>
      </c>
      <c r="G59" t="s" s="37">
        <v>82</v>
      </c>
      <c r="H59" t="s" s="37">
        <v>83</v>
      </c>
      <c r="I59" t="s" s="37">
        <v>75</v>
      </c>
      <c r="J59" t="s" s="38">
        <v>84</v>
      </c>
      <c r="K59" t="s" s="38">
        <v>85</v>
      </c>
      <c r="L59" s="32"/>
      <c r="M59" s="26"/>
    </row>
    <row r="60" ht="16" customHeight="1">
      <c r="A60" t="s" s="33">
        <v>386</v>
      </c>
      <c r="B60" s="34">
        <v>71</v>
      </c>
      <c r="C60" t="s" s="35">
        <f>MID(A60,2,3)</f>
        <v>387</v>
      </c>
      <c r="D60" t="s" s="35">
        <v>388</v>
      </c>
      <c r="E60" t="s" s="35">
        <v>389</v>
      </c>
      <c r="F60" t="s" s="101">
        <v>390</v>
      </c>
      <c r="G60" t="s" s="37">
        <v>97</v>
      </c>
      <c r="H60" t="s" s="37">
        <v>83</v>
      </c>
      <c r="I60" t="s" s="37">
        <v>75</v>
      </c>
      <c r="J60" t="s" s="38">
        <v>84</v>
      </c>
      <c r="K60" t="s" s="38">
        <v>85</v>
      </c>
      <c r="L60" s="32"/>
      <c r="M60" s="26"/>
    </row>
    <row r="61" ht="16" customHeight="1">
      <c r="A61" t="s" s="33">
        <v>391</v>
      </c>
      <c r="B61" s="34">
        <v>72</v>
      </c>
      <c r="C61" t="s" s="35">
        <f>MID(A61,2,3)</f>
        <v>392</v>
      </c>
      <c r="D61" t="s" s="35">
        <v>393</v>
      </c>
      <c r="E61" t="s" s="35">
        <v>394</v>
      </c>
      <c r="F61" t="s" s="102">
        <v>395</v>
      </c>
      <c r="G61" t="s" s="37">
        <v>118</v>
      </c>
      <c r="H61" t="s" s="37">
        <v>83</v>
      </c>
      <c r="I61" t="s" s="37">
        <v>75</v>
      </c>
      <c r="J61" t="s" s="38">
        <v>84</v>
      </c>
      <c r="K61" t="s" s="38">
        <v>85</v>
      </c>
      <c r="L61" s="32"/>
      <c r="M61" s="26"/>
    </row>
    <row r="62" ht="16" customHeight="1">
      <c r="A62" t="s" s="33">
        <v>396</v>
      </c>
      <c r="B62" s="34">
        <v>73</v>
      </c>
      <c r="C62" t="s" s="35">
        <f>MID(A62,2,3)</f>
        <v>397</v>
      </c>
      <c r="D62" t="s" s="35">
        <v>398</v>
      </c>
      <c r="E62" t="s" s="35">
        <v>399</v>
      </c>
      <c r="F62" t="s" s="103">
        <v>400</v>
      </c>
      <c r="G62" t="s" s="37">
        <v>82</v>
      </c>
      <c r="H62" t="s" s="37">
        <v>83</v>
      </c>
      <c r="I62" t="s" s="37">
        <v>75</v>
      </c>
      <c r="J62" t="s" s="38">
        <v>84</v>
      </c>
      <c r="K62" t="s" s="38">
        <v>85</v>
      </c>
      <c r="L62" s="32"/>
      <c r="M62" s="26"/>
    </row>
    <row r="63" ht="16" customHeight="1">
      <c r="A63" t="s" s="33">
        <v>401</v>
      </c>
      <c r="B63" s="34">
        <v>74</v>
      </c>
      <c r="C63" t="s" s="35">
        <f>MID(A63,2,3)</f>
        <v>402</v>
      </c>
      <c r="D63" t="s" s="35">
        <v>403</v>
      </c>
      <c r="E63" t="s" s="35">
        <v>404</v>
      </c>
      <c r="F63" t="s" s="104">
        <v>405</v>
      </c>
      <c r="G63" t="s" s="37">
        <v>97</v>
      </c>
      <c r="H63" t="s" s="37">
        <v>146</v>
      </c>
      <c r="I63" t="s" s="37">
        <v>75</v>
      </c>
      <c r="J63" t="s" s="38">
        <v>84</v>
      </c>
      <c r="K63" t="s" s="38">
        <v>85</v>
      </c>
      <c r="L63" s="32"/>
      <c r="M63" s="26"/>
    </row>
    <row r="64" ht="16" customHeight="1">
      <c r="A64" t="s" s="33">
        <v>406</v>
      </c>
      <c r="B64" s="34">
        <v>75</v>
      </c>
      <c r="C64" t="s" s="35">
        <f>MID(A64,2,3)</f>
        <v>407</v>
      </c>
      <c r="D64" t="s" s="35">
        <v>408</v>
      </c>
      <c r="E64" t="s" s="35">
        <v>409</v>
      </c>
      <c r="F64" t="s" s="105">
        <v>410</v>
      </c>
      <c r="G64" t="s" s="37">
        <v>118</v>
      </c>
      <c r="H64" t="s" s="37">
        <v>146</v>
      </c>
      <c r="I64" t="s" s="37">
        <v>75</v>
      </c>
      <c r="J64" t="s" s="38">
        <v>84</v>
      </c>
      <c r="K64" t="s" s="38">
        <v>85</v>
      </c>
      <c r="L64" s="32"/>
      <c r="M64" s="26"/>
    </row>
    <row r="65" ht="16" customHeight="1">
      <c r="A65" t="s" s="33">
        <v>411</v>
      </c>
      <c r="B65" s="34">
        <v>76</v>
      </c>
      <c r="C65" t="s" s="35">
        <f>MID(A65,2,3)</f>
        <v>412</v>
      </c>
      <c r="D65" t="s" s="35">
        <v>413</v>
      </c>
      <c r="E65" t="s" s="35">
        <v>414</v>
      </c>
      <c r="F65" t="s" s="106">
        <v>415</v>
      </c>
      <c r="G65" t="s" s="37">
        <v>82</v>
      </c>
      <c r="H65" t="s" s="37">
        <v>83</v>
      </c>
      <c r="I65" t="s" s="37">
        <v>75</v>
      </c>
      <c r="J65" t="s" s="38">
        <v>84</v>
      </c>
      <c r="K65" t="s" s="38">
        <v>85</v>
      </c>
      <c r="L65" s="32"/>
      <c r="M65" s="26"/>
    </row>
    <row r="66" ht="16" customHeight="1">
      <c r="A66" t="s" s="33">
        <v>416</v>
      </c>
      <c r="B66" s="34">
        <v>77</v>
      </c>
      <c r="C66" t="s" s="35">
        <f>MID(A66,2,3)</f>
        <v>417</v>
      </c>
      <c r="D66" t="s" s="35">
        <v>418</v>
      </c>
      <c r="E66" t="s" s="35">
        <v>419</v>
      </c>
      <c r="F66" t="s" s="107">
        <v>420</v>
      </c>
      <c r="G66" t="s" s="37">
        <v>255</v>
      </c>
      <c r="H66" t="s" s="37">
        <v>83</v>
      </c>
      <c r="I66" t="s" s="37">
        <v>75</v>
      </c>
      <c r="J66" t="s" s="38">
        <v>84</v>
      </c>
      <c r="K66" t="s" s="38">
        <v>85</v>
      </c>
      <c r="L66" s="32"/>
      <c r="M66" s="26"/>
    </row>
    <row r="67" ht="16" customHeight="1">
      <c r="A67" t="s" s="33">
        <v>421</v>
      </c>
      <c r="B67" s="34">
        <v>78</v>
      </c>
      <c r="C67" t="s" s="35">
        <f>MID(A67,2,3)</f>
        <v>422</v>
      </c>
      <c r="D67" t="s" s="35">
        <v>423</v>
      </c>
      <c r="E67" t="s" s="35">
        <v>424</v>
      </c>
      <c r="F67" t="s" s="108">
        <v>425</v>
      </c>
      <c r="G67" t="s" s="37">
        <v>82</v>
      </c>
      <c r="H67" t="s" s="37">
        <v>146</v>
      </c>
      <c r="I67" t="s" s="37">
        <v>75</v>
      </c>
      <c r="J67" t="s" s="38">
        <v>84</v>
      </c>
      <c r="K67" t="s" s="38">
        <v>85</v>
      </c>
      <c r="L67" s="32"/>
      <c r="M67" s="26"/>
    </row>
    <row r="68" ht="16" customHeight="1">
      <c r="A68" t="s" s="33">
        <v>426</v>
      </c>
      <c r="B68" s="34">
        <v>79</v>
      </c>
      <c r="C68" t="s" s="35">
        <f>MID(A68,2,3)</f>
        <v>427</v>
      </c>
      <c r="D68" t="s" s="35">
        <v>428</v>
      </c>
      <c r="E68" t="s" s="35">
        <v>429</v>
      </c>
      <c r="F68" t="s" s="109">
        <v>430</v>
      </c>
      <c r="G68" t="s" s="37">
        <v>157</v>
      </c>
      <c r="H68" t="s" s="37">
        <v>83</v>
      </c>
      <c r="I68" t="s" s="37">
        <v>75</v>
      </c>
      <c r="J68" t="s" s="38">
        <v>84</v>
      </c>
      <c r="K68" t="s" s="38">
        <v>85</v>
      </c>
      <c r="L68" s="32"/>
      <c r="M68" s="26"/>
    </row>
    <row r="69" ht="16" customHeight="1">
      <c r="A69" t="s" s="33">
        <v>431</v>
      </c>
      <c r="B69" s="34">
        <v>80</v>
      </c>
      <c r="C69" t="s" s="35">
        <f>MID(A69,2,3)</f>
        <v>432</v>
      </c>
      <c r="D69" t="s" s="35">
        <v>433</v>
      </c>
      <c r="E69" t="s" s="35">
        <v>434</v>
      </c>
      <c r="F69" t="s" s="110">
        <v>435</v>
      </c>
      <c r="G69" t="s" s="37">
        <v>97</v>
      </c>
      <c r="H69" t="s" s="37">
        <v>83</v>
      </c>
      <c r="I69" t="s" s="37">
        <v>75</v>
      </c>
      <c r="J69" t="s" s="38">
        <v>84</v>
      </c>
      <c r="K69" t="s" s="38">
        <v>85</v>
      </c>
      <c r="L69" s="32"/>
      <c r="M69" s="26"/>
    </row>
    <row r="70" ht="16" customHeight="1">
      <c r="A70" t="s" s="33">
        <v>436</v>
      </c>
      <c r="B70" s="34">
        <v>81</v>
      </c>
      <c r="C70" t="s" s="35">
        <f>MID(A70,2,3)</f>
        <v>437</v>
      </c>
      <c r="D70" t="s" s="35">
        <v>438</v>
      </c>
      <c r="E70" t="s" s="35">
        <v>439</v>
      </c>
      <c r="F70" t="s" s="111">
        <v>440</v>
      </c>
      <c r="G70" t="s" s="37">
        <v>214</v>
      </c>
      <c r="H70" t="s" s="37">
        <v>83</v>
      </c>
      <c r="I70" t="s" s="37">
        <v>75</v>
      </c>
      <c r="J70" t="s" s="38">
        <v>84</v>
      </c>
      <c r="K70" t="s" s="38">
        <v>85</v>
      </c>
      <c r="L70" s="32"/>
      <c r="M70" s="26"/>
    </row>
    <row r="71" ht="16" customHeight="1">
      <c r="A71" t="s" s="33">
        <v>441</v>
      </c>
      <c r="B71" s="34">
        <v>82</v>
      </c>
      <c r="C71" t="s" s="35">
        <f>MID(A71,2,3)</f>
        <v>442</v>
      </c>
      <c r="D71" t="s" s="35">
        <v>443</v>
      </c>
      <c r="E71" t="s" s="35">
        <v>444</v>
      </c>
      <c r="F71" t="s" s="112">
        <v>445</v>
      </c>
      <c r="G71" t="s" s="37">
        <v>214</v>
      </c>
      <c r="H71" t="s" s="37">
        <v>83</v>
      </c>
      <c r="I71" t="s" s="37">
        <v>75</v>
      </c>
      <c r="J71" t="s" s="38">
        <v>84</v>
      </c>
      <c r="K71" t="s" s="38">
        <v>85</v>
      </c>
      <c r="L71" s="32"/>
      <c r="M71" s="26"/>
    </row>
    <row r="72" ht="16" customHeight="1">
      <c r="A72" t="s" s="33">
        <v>446</v>
      </c>
      <c r="B72" s="34">
        <v>83</v>
      </c>
      <c r="C72" t="s" s="35">
        <f>MID(A72,2,3)</f>
        <v>447</v>
      </c>
      <c r="D72" t="s" s="35">
        <v>448</v>
      </c>
      <c r="E72" t="s" s="35">
        <v>449</v>
      </c>
      <c r="F72" t="s" s="113">
        <v>450</v>
      </c>
      <c r="G72" t="s" s="37">
        <v>112</v>
      </c>
      <c r="H72" t="s" s="37">
        <v>146</v>
      </c>
      <c r="I72" t="s" s="37">
        <v>75</v>
      </c>
      <c r="J72" t="s" s="38">
        <v>84</v>
      </c>
      <c r="K72" t="s" s="38">
        <v>85</v>
      </c>
      <c r="L72" s="32"/>
      <c r="M72" s="26"/>
    </row>
    <row r="73" ht="16" customHeight="1">
      <c r="A73" t="s" s="33">
        <v>451</v>
      </c>
      <c r="B73" s="34">
        <v>84</v>
      </c>
      <c r="C73" t="s" s="35">
        <f>MID(A73,2,3)</f>
        <v>452</v>
      </c>
      <c r="D73" t="s" s="35">
        <v>453</v>
      </c>
      <c r="E73" t="s" s="35">
        <v>454</v>
      </c>
      <c r="F73" t="s" s="114">
        <v>455</v>
      </c>
      <c r="G73" t="s" s="37">
        <v>82</v>
      </c>
      <c r="H73" t="s" s="37">
        <v>146</v>
      </c>
      <c r="I73" t="s" s="37">
        <v>75</v>
      </c>
      <c r="J73" t="s" s="38">
        <v>84</v>
      </c>
      <c r="K73" t="s" s="38">
        <v>85</v>
      </c>
      <c r="L73" s="32"/>
      <c r="M73" s="26"/>
    </row>
    <row r="74" ht="16" customHeight="1">
      <c r="A74" t="s" s="33">
        <v>456</v>
      </c>
      <c r="B74" s="34">
        <v>85</v>
      </c>
      <c r="C74" t="s" s="35">
        <f>MID(A74,2,3)</f>
        <v>457</v>
      </c>
      <c r="D74" t="s" s="35">
        <v>458</v>
      </c>
      <c r="E74" t="s" s="35">
        <v>459</v>
      </c>
      <c r="F74" t="s" s="115">
        <v>460</v>
      </c>
      <c r="G74" t="s" s="37">
        <v>112</v>
      </c>
      <c r="H74" t="s" s="37">
        <v>83</v>
      </c>
      <c r="I74" t="s" s="37">
        <v>75</v>
      </c>
      <c r="J74" t="s" s="38">
        <v>84</v>
      </c>
      <c r="K74" t="s" s="38">
        <v>85</v>
      </c>
      <c r="L74" s="32"/>
      <c r="M74" s="26"/>
    </row>
    <row r="75" ht="16" customHeight="1">
      <c r="A75" t="s" s="33">
        <v>461</v>
      </c>
      <c r="B75" s="34">
        <v>86</v>
      </c>
      <c r="C75" t="s" s="35">
        <f>MID(A75,2,3)</f>
        <v>462</v>
      </c>
      <c r="D75" t="s" s="35">
        <v>463</v>
      </c>
      <c r="E75" t="s" s="35">
        <v>464</v>
      </c>
      <c r="F75" t="s" s="116">
        <v>465</v>
      </c>
      <c r="G75" t="s" s="37">
        <v>214</v>
      </c>
      <c r="H75" t="s" s="37">
        <v>83</v>
      </c>
      <c r="I75" t="s" s="37">
        <v>75</v>
      </c>
      <c r="J75" t="s" s="38">
        <v>84</v>
      </c>
      <c r="K75" t="s" s="38">
        <v>85</v>
      </c>
      <c r="L75" s="32"/>
      <c r="M75" s="26"/>
    </row>
    <row r="76" ht="16" customHeight="1">
      <c r="A76" t="s" s="33">
        <v>466</v>
      </c>
      <c r="B76" s="34">
        <v>87</v>
      </c>
      <c r="C76" t="s" s="35">
        <f>MID(A76,2,3)</f>
        <v>467</v>
      </c>
      <c r="D76" t="s" s="35">
        <v>468</v>
      </c>
      <c r="E76" t="s" s="35">
        <v>469</v>
      </c>
      <c r="F76" t="s" s="117">
        <v>470</v>
      </c>
      <c r="G76" t="s" s="37">
        <v>112</v>
      </c>
      <c r="H76" t="s" s="37">
        <v>83</v>
      </c>
      <c r="I76" t="s" s="37">
        <v>75</v>
      </c>
      <c r="J76" t="s" s="38">
        <v>84</v>
      </c>
      <c r="K76" t="s" s="38">
        <v>85</v>
      </c>
      <c r="L76" s="32"/>
      <c r="M76" s="26"/>
    </row>
    <row r="77" ht="16" customHeight="1">
      <c r="A77" t="s" s="33">
        <v>471</v>
      </c>
      <c r="B77" s="34">
        <v>88</v>
      </c>
      <c r="C77" t="s" s="35">
        <f>MID(A77,2,3)</f>
        <v>472</v>
      </c>
      <c r="D77" t="s" s="35">
        <v>473</v>
      </c>
      <c r="E77" t="s" s="35">
        <v>474</v>
      </c>
      <c r="F77" t="s" s="118">
        <v>475</v>
      </c>
      <c r="G77" t="s" s="37">
        <v>214</v>
      </c>
      <c r="H77" t="s" s="37">
        <v>83</v>
      </c>
      <c r="I77" t="s" s="37">
        <v>75</v>
      </c>
      <c r="J77" t="s" s="38">
        <v>84</v>
      </c>
      <c r="K77" t="s" s="38">
        <v>85</v>
      </c>
      <c r="L77" s="32"/>
      <c r="M77" s="26"/>
    </row>
    <row r="78" ht="16" customHeight="1">
      <c r="A78" t="s" s="33">
        <v>476</v>
      </c>
      <c r="B78" s="34">
        <v>89</v>
      </c>
      <c r="C78" t="s" s="35">
        <f>MID(A78,2,3)</f>
        <v>477</v>
      </c>
      <c r="D78" t="s" s="35">
        <v>478</v>
      </c>
      <c r="E78" t="s" s="35">
        <v>479</v>
      </c>
      <c r="F78" t="s" s="119">
        <v>480</v>
      </c>
      <c r="G78" t="s" s="37">
        <v>112</v>
      </c>
      <c r="H78" t="s" s="37">
        <v>146</v>
      </c>
      <c r="I78" t="s" s="37">
        <v>75</v>
      </c>
      <c r="J78" t="s" s="38">
        <v>84</v>
      </c>
      <c r="K78" t="s" s="38">
        <v>85</v>
      </c>
      <c r="L78" s="32"/>
      <c r="M78" s="26"/>
    </row>
    <row r="79" ht="16" customHeight="1">
      <c r="A79" t="s" s="33">
        <v>481</v>
      </c>
      <c r="B79" s="34">
        <v>90</v>
      </c>
      <c r="C79" t="s" s="35">
        <f>MID(A79,2,3)</f>
        <v>482</v>
      </c>
      <c r="D79" t="s" s="35">
        <v>483</v>
      </c>
      <c r="E79" t="s" s="35">
        <v>484</v>
      </c>
      <c r="F79" t="s" s="120">
        <v>485</v>
      </c>
      <c r="G79" t="s" s="37">
        <v>112</v>
      </c>
      <c r="H79" t="s" s="37">
        <v>83</v>
      </c>
      <c r="I79" t="s" s="37">
        <v>75</v>
      </c>
      <c r="J79" t="s" s="38">
        <v>84</v>
      </c>
      <c r="K79" t="s" s="38">
        <v>85</v>
      </c>
      <c r="L79" s="32"/>
      <c r="M79" s="26"/>
    </row>
    <row r="80" ht="16" customHeight="1">
      <c r="A80" t="s" s="33">
        <v>486</v>
      </c>
      <c r="B80" s="34">
        <v>91</v>
      </c>
      <c r="C80" t="s" s="35">
        <f>MID(A80,2,3)</f>
        <v>487</v>
      </c>
      <c r="D80" t="s" s="35">
        <v>488</v>
      </c>
      <c r="E80" t="s" s="35">
        <v>489</v>
      </c>
      <c r="F80" t="s" s="121">
        <v>490</v>
      </c>
      <c r="G80" t="s" s="37">
        <v>82</v>
      </c>
      <c r="H80" t="s" s="37">
        <v>146</v>
      </c>
      <c r="I80" t="s" s="37">
        <v>75</v>
      </c>
      <c r="J80" t="s" s="38">
        <v>84</v>
      </c>
      <c r="K80" t="s" s="38">
        <v>85</v>
      </c>
      <c r="L80" s="32"/>
      <c r="M80" s="26"/>
    </row>
    <row r="81" ht="16" customHeight="1">
      <c r="A81" t="s" s="33">
        <v>491</v>
      </c>
      <c r="B81" s="34">
        <v>92</v>
      </c>
      <c r="C81" t="s" s="35">
        <f>MID(A81,2,3)</f>
        <v>492</v>
      </c>
      <c r="D81" t="s" s="35">
        <v>493</v>
      </c>
      <c r="E81" t="s" s="35">
        <v>494</v>
      </c>
      <c r="F81" t="s" s="122">
        <v>495</v>
      </c>
      <c r="G81" t="s" s="37">
        <v>112</v>
      </c>
      <c r="H81" t="s" s="37">
        <v>146</v>
      </c>
      <c r="I81" t="s" s="37">
        <v>75</v>
      </c>
      <c r="J81" t="s" s="38">
        <v>84</v>
      </c>
      <c r="K81" t="s" s="38">
        <v>85</v>
      </c>
      <c r="L81" s="32"/>
      <c r="M81" s="26"/>
    </row>
    <row r="82" ht="16" customHeight="1">
      <c r="A82" t="s" s="33">
        <v>496</v>
      </c>
      <c r="B82" s="34">
        <v>93</v>
      </c>
      <c r="C82" t="s" s="35">
        <f>MID(A82,2,3)</f>
        <v>497</v>
      </c>
      <c r="D82" t="s" s="35">
        <v>498</v>
      </c>
      <c r="E82" t="s" s="35">
        <v>499</v>
      </c>
      <c r="F82" t="s" s="123">
        <v>500</v>
      </c>
      <c r="G82" t="s" s="37">
        <v>82</v>
      </c>
      <c r="H82" t="s" s="37">
        <v>146</v>
      </c>
      <c r="I82" t="s" s="37">
        <v>75</v>
      </c>
      <c r="J82" t="s" s="38">
        <v>84</v>
      </c>
      <c r="K82" t="s" s="38">
        <v>85</v>
      </c>
      <c r="L82" s="32"/>
      <c r="M82" s="26"/>
    </row>
    <row r="83" ht="16" customHeight="1">
      <c r="A83" t="s" s="33">
        <v>501</v>
      </c>
      <c r="B83" s="34">
        <v>94</v>
      </c>
      <c r="C83" t="s" s="35">
        <f>MID(A83,2,3)</f>
        <v>502</v>
      </c>
      <c r="D83" t="s" s="35">
        <v>503</v>
      </c>
      <c r="E83" t="s" s="35">
        <v>504</v>
      </c>
      <c r="F83" t="s" s="124">
        <v>505</v>
      </c>
      <c r="G83" t="s" s="37">
        <v>112</v>
      </c>
      <c r="H83" t="s" s="37">
        <v>146</v>
      </c>
      <c r="I83" t="s" s="37">
        <v>75</v>
      </c>
      <c r="J83" t="s" s="38">
        <v>84</v>
      </c>
      <c r="K83" t="s" s="38">
        <v>85</v>
      </c>
      <c r="L83" s="32"/>
      <c r="M83" s="26"/>
    </row>
    <row r="84" ht="16" customHeight="1">
      <c r="A84" t="s" s="33">
        <v>506</v>
      </c>
      <c r="B84" s="34">
        <v>95</v>
      </c>
      <c r="C84" t="s" s="35">
        <f>MID(A84,2,3)</f>
        <v>507</v>
      </c>
      <c r="D84" t="s" s="35">
        <v>508</v>
      </c>
      <c r="E84" t="s" s="35">
        <v>509</v>
      </c>
      <c r="F84" t="s" s="125">
        <v>510</v>
      </c>
      <c r="G84" t="s" s="37">
        <v>97</v>
      </c>
      <c r="H84" t="s" s="37">
        <v>83</v>
      </c>
      <c r="I84" t="s" s="37">
        <v>75</v>
      </c>
      <c r="J84" t="s" s="38">
        <v>84</v>
      </c>
      <c r="K84" t="s" s="38">
        <v>85</v>
      </c>
      <c r="L84" s="32"/>
      <c r="M84" s="26"/>
    </row>
    <row r="85" ht="16" customHeight="1">
      <c r="A85" t="s" s="33">
        <v>511</v>
      </c>
      <c r="B85" s="34">
        <v>96</v>
      </c>
      <c r="C85" t="s" s="35">
        <f>MID(A85,2,3)</f>
        <v>512</v>
      </c>
      <c r="D85" t="s" s="35">
        <v>513</v>
      </c>
      <c r="E85" t="s" s="35">
        <v>514</v>
      </c>
      <c r="F85" t="s" s="126">
        <v>515</v>
      </c>
      <c r="G85" t="s" s="37">
        <v>214</v>
      </c>
      <c r="H85" t="s" s="37">
        <v>83</v>
      </c>
      <c r="I85" t="s" s="37">
        <v>75</v>
      </c>
      <c r="J85" t="s" s="38">
        <v>84</v>
      </c>
      <c r="K85" t="s" s="38">
        <v>85</v>
      </c>
      <c r="L85" s="32"/>
      <c r="M85" s="26"/>
    </row>
    <row r="86" ht="16" customHeight="1">
      <c r="A86" t="s" s="33">
        <v>516</v>
      </c>
      <c r="B86" s="34">
        <v>97</v>
      </c>
      <c r="C86" t="s" s="35">
        <f>MID(A86,2,3)</f>
        <v>517</v>
      </c>
      <c r="D86" t="s" s="35">
        <v>518</v>
      </c>
      <c r="E86" t="s" s="35">
        <v>519</v>
      </c>
      <c r="F86" t="s" s="127">
        <v>520</v>
      </c>
      <c r="G86" t="s" s="37">
        <v>82</v>
      </c>
      <c r="H86" t="s" s="37">
        <v>146</v>
      </c>
      <c r="I86" t="s" s="37">
        <v>75</v>
      </c>
      <c r="J86" t="s" s="38">
        <v>84</v>
      </c>
      <c r="K86" t="s" s="38">
        <v>85</v>
      </c>
      <c r="L86" s="32"/>
      <c r="M86" s="26"/>
    </row>
    <row r="87" ht="16" customHeight="1">
      <c r="A87" t="s" s="33">
        <v>521</v>
      </c>
      <c r="B87" s="34">
        <v>98</v>
      </c>
      <c r="C87" t="s" s="35">
        <f>MID(A87,2,3)</f>
        <v>522</v>
      </c>
      <c r="D87" t="s" s="35">
        <v>523</v>
      </c>
      <c r="E87" t="s" s="35">
        <v>524</v>
      </c>
      <c r="F87" t="s" s="128">
        <v>525</v>
      </c>
      <c r="G87" t="s" s="37">
        <v>82</v>
      </c>
      <c r="H87" t="s" s="37">
        <v>83</v>
      </c>
      <c r="I87" t="s" s="37">
        <v>75</v>
      </c>
      <c r="J87" t="s" s="38">
        <v>84</v>
      </c>
      <c r="K87" t="s" s="38">
        <v>85</v>
      </c>
      <c r="L87" s="32"/>
      <c r="M87" s="26"/>
    </row>
    <row r="88" ht="16" customHeight="1">
      <c r="A88" t="s" s="33">
        <v>526</v>
      </c>
      <c r="B88" s="34">
        <v>99</v>
      </c>
      <c r="C88" t="s" s="35">
        <f>MID(A88,2,3)</f>
        <v>527</v>
      </c>
      <c r="D88" t="s" s="35">
        <v>528</v>
      </c>
      <c r="E88" t="s" s="35">
        <v>529</v>
      </c>
      <c r="F88" t="s" s="129">
        <v>530</v>
      </c>
      <c r="G88" t="s" s="37">
        <v>112</v>
      </c>
      <c r="H88" t="s" s="37">
        <v>83</v>
      </c>
      <c r="I88" t="s" s="37">
        <v>75</v>
      </c>
      <c r="J88" t="s" s="38">
        <v>84</v>
      </c>
      <c r="K88" t="s" s="38">
        <v>85</v>
      </c>
      <c r="L88" s="32"/>
      <c r="M88" s="26"/>
    </row>
    <row r="89" ht="16" customHeight="1">
      <c r="A89" t="s" s="33">
        <v>531</v>
      </c>
      <c r="B89" s="34">
        <v>100</v>
      </c>
      <c r="C89" t="s" s="35">
        <f>MID(A89,2,3)</f>
        <v>532</v>
      </c>
      <c r="D89" t="s" s="35">
        <v>533</v>
      </c>
      <c r="E89" t="s" s="35">
        <v>534</v>
      </c>
      <c r="F89" t="s" s="130">
        <v>535</v>
      </c>
      <c r="G89" t="s" s="37">
        <v>255</v>
      </c>
      <c r="H89" t="s" s="37">
        <v>83</v>
      </c>
      <c r="I89" t="s" s="37">
        <v>75</v>
      </c>
      <c r="J89" t="s" s="38">
        <v>84</v>
      </c>
      <c r="K89" t="s" s="38">
        <v>85</v>
      </c>
      <c r="L89" s="32"/>
      <c r="M89" s="26"/>
    </row>
    <row r="90" ht="16" customHeight="1">
      <c r="A90" t="s" s="33">
        <v>536</v>
      </c>
      <c r="B90" s="34">
        <v>101</v>
      </c>
      <c r="C90" t="s" s="35">
        <f>MID(A90,2,3)</f>
        <v>537</v>
      </c>
      <c r="D90" t="s" s="35">
        <v>538</v>
      </c>
      <c r="E90" t="s" s="35">
        <v>539</v>
      </c>
      <c r="F90" t="s" s="131">
        <v>540</v>
      </c>
      <c r="G90" t="s" s="37">
        <v>82</v>
      </c>
      <c r="H90" t="s" s="37">
        <v>83</v>
      </c>
      <c r="I90" t="s" s="37">
        <v>75</v>
      </c>
      <c r="J90" t="s" s="38">
        <v>84</v>
      </c>
      <c r="K90" t="s" s="38">
        <v>85</v>
      </c>
      <c r="L90" s="32"/>
      <c r="M90" s="26"/>
    </row>
    <row r="91" ht="16" customHeight="1">
      <c r="A91" t="s" s="33">
        <v>541</v>
      </c>
      <c r="B91" s="34">
        <v>102</v>
      </c>
      <c r="C91" t="s" s="35">
        <f>MID(A91,2,3)</f>
        <v>542</v>
      </c>
      <c r="D91" t="s" s="35">
        <v>543</v>
      </c>
      <c r="E91" t="s" s="35">
        <v>544</v>
      </c>
      <c r="F91" t="s" s="132">
        <v>545</v>
      </c>
      <c r="G91" t="s" s="37">
        <v>157</v>
      </c>
      <c r="H91" t="s" s="37">
        <v>83</v>
      </c>
      <c r="I91" t="s" s="37">
        <v>75</v>
      </c>
      <c r="J91" t="s" s="38">
        <v>84</v>
      </c>
      <c r="K91" t="s" s="38">
        <v>85</v>
      </c>
      <c r="L91" s="32"/>
      <c r="M91" s="26"/>
    </row>
    <row r="92" ht="19" customHeight="1">
      <c r="A92" t="s" s="33">
        <v>546</v>
      </c>
      <c r="B92" s="34">
        <v>103</v>
      </c>
      <c r="C92" t="s" s="35">
        <f>MID(A92,2,3)</f>
        <v>547</v>
      </c>
      <c r="D92" t="s" s="35">
        <v>548</v>
      </c>
      <c r="E92" t="s" s="35">
        <v>549</v>
      </c>
      <c r="F92" t="s" s="133">
        <v>550</v>
      </c>
      <c r="G92" t="s" s="37">
        <v>97</v>
      </c>
      <c r="H92" t="s" s="37">
        <v>83</v>
      </c>
      <c r="I92" t="s" s="37">
        <v>75</v>
      </c>
      <c r="J92" t="s" s="38">
        <v>84</v>
      </c>
      <c r="K92" t="s" s="38">
        <v>85</v>
      </c>
      <c r="L92" s="32"/>
      <c r="M92" s="26"/>
    </row>
    <row r="93" ht="16" customHeight="1">
      <c r="A93" t="s" s="33">
        <v>551</v>
      </c>
      <c r="B93" s="34">
        <v>104</v>
      </c>
      <c r="C93" t="s" s="35">
        <f>MID(A93,2,3)</f>
        <v>552</v>
      </c>
      <c r="D93" t="s" s="35">
        <v>553</v>
      </c>
      <c r="E93" t="s" s="134">
        <v>554</v>
      </c>
      <c r="F93" t="s" s="135">
        <v>555</v>
      </c>
      <c r="G93" t="s" s="37">
        <v>97</v>
      </c>
      <c r="H93" t="s" s="37">
        <v>146</v>
      </c>
      <c r="I93" t="s" s="37">
        <v>75</v>
      </c>
      <c r="J93" t="s" s="38">
        <v>84</v>
      </c>
      <c r="K93" t="s" s="38">
        <v>85</v>
      </c>
      <c r="L93" s="32"/>
      <c r="M93" s="26"/>
    </row>
    <row r="94" ht="16" customHeight="1">
      <c r="A94" t="s" s="33">
        <v>556</v>
      </c>
      <c r="B94" s="34">
        <v>105</v>
      </c>
      <c r="C94" t="s" s="35">
        <f>MID(A94,2,3)</f>
        <v>557</v>
      </c>
      <c r="D94" t="s" s="35">
        <v>558</v>
      </c>
      <c r="E94" t="s" s="35">
        <v>559</v>
      </c>
      <c r="F94" t="s" s="136">
        <v>560</v>
      </c>
      <c r="G94" t="s" s="37">
        <v>118</v>
      </c>
      <c r="H94" t="s" s="37">
        <v>83</v>
      </c>
      <c r="I94" t="s" s="37">
        <v>75</v>
      </c>
      <c r="J94" t="s" s="38">
        <v>84</v>
      </c>
      <c r="K94" t="s" s="38">
        <v>85</v>
      </c>
      <c r="L94" s="32"/>
      <c r="M94" s="26"/>
    </row>
    <row r="95" ht="16" customHeight="1">
      <c r="A95" t="s" s="33">
        <v>561</v>
      </c>
      <c r="B95" s="34">
        <v>106</v>
      </c>
      <c r="C95" t="s" s="35">
        <f>MID(A95,2,3)</f>
        <v>562</v>
      </c>
      <c r="D95" t="s" s="35">
        <v>563</v>
      </c>
      <c r="E95" t="s" s="35">
        <v>564</v>
      </c>
      <c r="F95" t="s" s="137">
        <v>565</v>
      </c>
      <c r="G95" t="s" s="37">
        <v>157</v>
      </c>
      <c r="H95" t="s" s="37">
        <v>83</v>
      </c>
      <c r="I95" t="s" s="37">
        <v>75</v>
      </c>
      <c r="J95" t="s" s="38">
        <v>84</v>
      </c>
      <c r="K95" t="s" s="38">
        <v>85</v>
      </c>
      <c r="L95" s="32"/>
      <c r="M95" s="26"/>
    </row>
    <row r="96" ht="16" customHeight="1">
      <c r="A96" t="s" s="33">
        <v>566</v>
      </c>
      <c r="B96" s="34">
        <v>107</v>
      </c>
      <c r="C96" t="s" s="35">
        <f>MID(A96,2,3)</f>
        <v>567</v>
      </c>
      <c r="D96" t="s" s="35">
        <v>568</v>
      </c>
      <c r="E96" t="s" s="35">
        <v>569</v>
      </c>
      <c r="F96" t="s" s="138">
        <v>570</v>
      </c>
      <c r="G96" t="s" s="37">
        <v>173</v>
      </c>
      <c r="H96" t="s" s="37">
        <v>146</v>
      </c>
      <c r="I96" t="s" s="37">
        <v>75</v>
      </c>
      <c r="J96" t="s" s="38">
        <v>84</v>
      </c>
      <c r="K96" t="s" s="38">
        <v>85</v>
      </c>
      <c r="L96" s="32"/>
      <c r="M96" s="26"/>
    </row>
    <row r="97" ht="16" customHeight="1">
      <c r="A97" t="s" s="33">
        <v>571</v>
      </c>
      <c r="B97" s="34">
        <v>108</v>
      </c>
      <c r="C97" t="s" s="35">
        <f>MID(A97,2,3)</f>
        <v>572</v>
      </c>
      <c r="D97" t="s" s="35">
        <v>573</v>
      </c>
      <c r="E97" t="s" s="35">
        <v>574</v>
      </c>
      <c r="F97" t="s" s="139">
        <v>575</v>
      </c>
      <c r="G97" t="s" s="37">
        <v>125</v>
      </c>
      <c r="H97" t="s" s="37">
        <v>146</v>
      </c>
      <c r="I97" t="s" s="37">
        <v>75</v>
      </c>
      <c r="J97" t="s" s="38">
        <v>84</v>
      </c>
      <c r="K97" t="s" s="38">
        <v>85</v>
      </c>
      <c r="L97" s="32"/>
      <c r="M97" s="26"/>
    </row>
    <row r="98" ht="16" customHeight="1">
      <c r="A98" t="s" s="33">
        <v>576</v>
      </c>
      <c r="B98" s="34">
        <v>109</v>
      </c>
      <c r="C98" t="s" s="35">
        <f>MID(A98,2,3)</f>
        <v>577</v>
      </c>
      <c r="D98" t="s" s="35">
        <v>578</v>
      </c>
      <c r="E98" t="s" s="35">
        <v>579</v>
      </c>
      <c r="F98" t="s" s="140">
        <v>580</v>
      </c>
      <c r="G98" t="s" s="37">
        <v>214</v>
      </c>
      <c r="H98" t="s" s="37">
        <v>146</v>
      </c>
      <c r="I98" t="s" s="37">
        <v>75</v>
      </c>
      <c r="J98" t="s" s="38">
        <v>84</v>
      </c>
      <c r="K98" t="s" s="38">
        <v>85</v>
      </c>
      <c r="L98" s="32"/>
      <c r="M98" s="26"/>
    </row>
    <row r="99" ht="16" customHeight="1">
      <c r="A99" t="s" s="33">
        <v>581</v>
      </c>
      <c r="B99" s="34">
        <v>110</v>
      </c>
      <c r="C99" t="s" s="35">
        <f>MID(A99,2,3)</f>
        <v>582</v>
      </c>
      <c r="D99" t="s" s="35">
        <v>583</v>
      </c>
      <c r="E99" t="s" s="35">
        <v>584</v>
      </c>
      <c r="F99" t="s" s="141">
        <v>585</v>
      </c>
      <c r="G99" t="s" s="37">
        <v>214</v>
      </c>
      <c r="H99" t="s" s="37">
        <v>146</v>
      </c>
      <c r="I99" t="s" s="37">
        <v>75</v>
      </c>
      <c r="J99" t="s" s="38">
        <v>84</v>
      </c>
      <c r="K99" t="s" s="38">
        <v>85</v>
      </c>
      <c r="L99" s="32"/>
      <c r="M99" s="26"/>
    </row>
    <row r="100" ht="16" customHeight="1">
      <c r="A100" t="s" s="33">
        <v>586</v>
      </c>
      <c r="B100" s="34">
        <v>111</v>
      </c>
      <c r="C100" t="s" s="35">
        <f>MID(A100,2,3)</f>
        <v>587</v>
      </c>
      <c r="D100" t="s" s="35">
        <v>588</v>
      </c>
      <c r="E100" t="s" s="35">
        <v>589</v>
      </c>
      <c r="F100" t="s" s="142">
        <v>590</v>
      </c>
      <c r="G100" t="s" s="37">
        <v>214</v>
      </c>
      <c r="H100" t="s" s="37">
        <v>146</v>
      </c>
      <c r="I100" t="s" s="37">
        <v>75</v>
      </c>
      <c r="J100" t="s" s="38">
        <v>84</v>
      </c>
      <c r="K100" t="s" s="38">
        <v>85</v>
      </c>
      <c r="L100" s="32"/>
      <c r="M100" s="26"/>
    </row>
    <row r="101" ht="16" customHeight="1">
      <c r="A101" t="s" s="33">
        <v>591</v>
      </c>
      <c r="B101" s="34">
        <v>112</v>
      </c>
      <c r="C101" t="s" s="35">
        <f>MID(A101,2,3)</f>
        <v>592</v>
      </c>
      <c r="D101" t="s" s="35">
        <v>593</v>
      </c>
      <c r="E101" t="s" s="35">
        <v>594</v>
      </c>
      <c r="F101" t="s" s="143">
        <v>595</v>
      </c>
      <c r="G101" t="s" s="37">
        <v>214</v>
      </c>
      <c r="H101" t="s" s="37">
        <v>146</v>
      </c>
      <c r="I101" t="s" s="37">
        <v>75</v>
      </c>
      <c r="J101" t="s" s="38">
        <v>84</v>
      </c>
      <c r="K101" t="s" s="38">
        <v>85</v>
      </c>
      <c r="L101" s="32"/>
      <c r="M101" s="26"/>
    </row>
    <row r="102" ht="16" customHeight="1">
      <c r="A102" t="s" s="33">
        <v>596</v>
      </c>
      <c r="B102" s="34">
        <v>113</v>
      </c>
      <c r="C102" t="s" s="35">
        <f>MID(A102,2,3)</f>
        <v>597</v>
      </c>
      <c r="D102" t="s" s="35">
        <v>598</v>
      </c>
      <c r="E102" t="s" s="35">
        <v>599</v>
      </c>
      <c r="F102" t="s" s="144">
        <v>600</v>
      </c>
      <c r="G102" t="s" s="37">
        <v>173</v>
      </c>
      <c r="H102" t="s" s="37">
        <v>146</v>
      </c>
      <c r="I102" t="s" s="37">
        <v>75</v>
      </c>
      <c r="J102" t="s" s="38">
        <v>84</v>
      </c>
      <c r="K102" t="s" s="38">
        <v>85</v>
      </c>
      <c r="L102" s="32"/>
      <c r="M102" s="26"/>
    </row>
    <row r="103" ht="16" customHeight="1">
      <c r="A103" t="s" s="33">
        <v>601</v>
      </c>
      <c r="B103" s="34">
        <v>114</v>
      </c>
      <c r="C103" t="s" s="35">
        <f>MID(A103,2,3)</f>
        <v>602</v>
      </c>
      <c r="D103" t="s" s="35">
        <v>603</v>
      </c>
      <c r="E103" t="s" s="35">
        <v>604</v>
      </c>
      <c r="F103" t="s" s="145">
        <v>605</v>
      </c>
      <c r="G103" t="s" s="37">
        <v>214</v>
      </c>
      <c r="H103" t="s" s="37">
        <v>146</v>
      </c>
      <c r="I103" t="s" s="37">
        <v>75</v>
      </c>
      <c r="J103" t="s" s="38">
        <v>84</v>
      </c>
      <c r="K103" t="s" s="38">
        <v>85</v>
      </c>
      <c r="L103" s="32"/>
      <c r="M103" s="26"/>
    </row>
    <row r="104" ht="16" customHeight="1">
      <c r="A104" t="s" s="33">
        <v>606</v>
      </c>
      <c r="B104" s="34">
        <v>115</v>
      </c>
      <c r="C104" t="s" s="35">
        <f>MID(A104,2,3)</f>
        <v>607</v>
      </c>
      <c r="D104" t="s" s="35">
        <v>608</v>
      </c>
      <c r="E104" t="s" s="35">
        <v>609</v>
      </c>
      <c r="F104" t="s" s="146">
        <v>610</v>
      </c>
      <c r="G104" t="s" s="37">
        <v>112</v>
      </c>
      <c r="H104" t="s" s="37">
        <v>146</v>
      </c>
      <c r="I104" t="s" s="37">
        <v>75</v>
      </c>
      <c r="J104" t="s" s="38">
        <v>84</v>
      </c>
      <c r="K104" t="s" s="38">
        <v>85</v>
      </c>
      <c r="L104" s="32"/>
      <c r="M104" s="26"/>
    </row>
    <row r="105" ht="16" customHeight="1">
      <c r="A105" t="s" s="33">
        <v>611</v>
      </c>
      <c r="B105" s="34">
        <v>116</v>
      </c>
      <c r="C105" t="s" s="35">
        <f>MID(A105,2,3)</f>
        <v>612</v>
      </c>
      <c r="D105" t="s" s="35">
        <v>613</v>
      </c>
      <c r="E105" t="s" s="35">
        <v>614</v>
      </c>
      <c r="F105" t="s" s="147">
        <v>615</v>
      </c>
      <c r="G105" t="s" s="37">
        <v>255</v>
      </c>
      <c r="H105" t="s" s="37">
        <v>83</v>
      </c>
      <c r="I105" t="s" s="37">
        <v>75</v>
      </c>
      <c r="J105" t="s" s="38">
        <v>84</v>
      </c>
      <c r="K105" t="s" s="38">
        <v>85</v>
      </c>
      <c r="L105" s="32"/>
      <c r="M105" s="26"/>
    </row>
    <row r="106" ht="16" customHeight="1">
      <c r="A106" t="s" s="33">
        <v>616</v>
      </c>
      <c r="B106" s="34">
        <v>117</v>
      </c>
      <c r="C106" t="s" s="35">
        <f>MID(A106,2,3)</f>
        <v>617</v>
      </c>
      <c r="D106" t="s" s="35">
        <v>618</v>
      </c>
      <c r="E106" t="s" s="35">
        <v>619</v>
      </c>
      <c r="F106" t="s" s="148">
        <v>620</v>
      </c>
      <c r="G106" t="s" s="37">
        <v>255</v>
      </c>
      <c r="H106" t="s" s="37">
        <v>83</v>
      </c>
      <c r="I106" t="s" s="37">
        <v>75</v>
      </c>
      <c r="J106" t="s" s="38">
        <v>84</v>
      </c>
      <c r="K106" t="s" s="38">
        <v>85</v>
      </c>
      <c r="L106" s="32"/>
      <c r="M106" s="26"/>
    </row>
    <row r="107" ht="16" customHeight="1">
      <c r="A107" t="s" s="33">
        <v>621</v>
      </c>
      <c r="B107" s="34">
        <v>118</v>
      </c>
      <c r="C107" t="s" s="35">
        <f>MID(A107,2,3)</f>
        <v>622</v>
      </c>
      <c r="D107" t="s" s="35">
        <v>623</v>
      </c>
      <c r="E107" t="s" s="35">
        <v>624</v>
      </c>
      <c r="F107" t="s" s="149">
        <v>625</v>
      </c>
      <c r="G107" t="s" s="37">
        <v>97</v>
      </c>
      <c r="H107" t="s" s="37">
        <v>83</v>
      </c>
      <c r="I107" t="s" s="37">
        <v>75</v>
      </c>
      <c r="J107" t="s" s="38">
        <v>84</v>
      </c>
      <c r="K107" t="s" s="38">
        <v>85</v>
      </c>
      <c r="L107" s="32"/>
      <c r="M107" s="26"/>
    </row>
    <row r="108" ht="16" customHeight="1">
      <c r="A108" t="s" s="33">
        <v>626</v>
      </c>
      <c r="B108" s="34">
        <v>119</v>
      </c>
      <c r="C108" t="s" s="35">
        <f>MID(A108,2,3)</f>
        <v>627</v>
      </c>
      <c r="D108" t="s" s="35">
        <v>628</v>
      </c>
      <c r="E108" t="s" s="35">
        <v>629</v>
      </c>
      <c r="F108" t="s" s="150">
        <v>630</v>
      </c>
      <c r="G108" t="s" s="37">
        <v>82</v>
      </c>
      <c r="H108" t="s" s="37">
        <v>83</v>
      </c>
      <c r="I108" t="s" s="37">
        <v>75</v>
      </c>
      <c r="J108" t="s" s="38">
        <v>84</v>
      </c>
      <c r="K108" t="s" s="38">
        <v>85</v>
      </c>
      <c r="L108" s="32"/>
      <c r="M108" s="26"/>
    </row>
    <row r="109" ht="16" customHeight="1">
      <c r="A109" t="s" s="33">
        <v>631</v>
      </c>
      <c r="B109" s="34">
        <v>120</v>
      </c>
      <c r="C109" t="s" s="35">
        <f>MID(A109,2,3)</f>
        <v>632</v>
      </c>
      <c r="D109" t="s" s="35">
        <v>633</v>
      </c>
      <c r="E109" t="s" s="35">
        <v>634</v>
      </c>
      <c r="F109" t="s" s="151">
        <v>635</v>
      </c>
      <c r="G109" t="s" s="37">
        <v>97</v>
      </c>
      <c r="H109" t="s" s="37">
        <v>83</v>
      </c>
      <c r="I109" t="s" s="37">
        <v>75</v>
      </c>
      <c r="J109" t="s" s="38">
        <v>84</v>
      </c>
      <c r="K109" t="s" s="38">
        <v>85</v>
      </c>
      <c r="L109" s="32"/>
      <c r="M109" s="26"/>
    </row>
    <row r="110" ht="16" customHeight="1">
      <c r="A110" t="s" s="33">
        <v>636</v>
      </c>
      <c r="B110" s="34">
        <v>121</v>
      </c>
      <c r="C110" t="s" s="35">
        <f>MID(A110,2,3)</f>
        <v>637</v>
      </c>
      <c r="D110" t="s" s="35">
        <v>638</v>
      </c>
      <c r="E110" t="s" s="35">
        <v>639</v>
      </c>
      <c r="F110" t="s" s="152">
        <v>640</v>
      </c>
      <c r="G110" t="s" s="37">
        <v>82</v>
      </c>
      <c r="H110" t="s" s="37">
        <v>146</v>
      </c>
      <c r="I110" t="s" s="37">
        <v>75</v>
      </c>
      <c r="J110" t="s" s="38">
        <v>84</v>
      </c>
      <c r="K110" t="s" s="38">
        <v>85</v>
      </c>
      <c r="L110" s="32"/>
      <c r="M110" s="26"/>
    </row>
    <row r="111" ht="16" customHeight="1">
      <c r="A111" t="s" s="33">
        <v>641</v>
      </c>
      <c r="B111" s="34">
        <v>122</v>
      </c>
      <c r="C111" t="s" s="35">
        <f>MID(A111,2,3)</f>
        <v>642</v>
      </c>
      <c r="D111" t="s" s="35">
        <v>643</v>
      </c>
      <c r="E111" t="s" s="35">
        <v>644</v>
      </c>
      <c r="F111" t="s" s="153">
        <v>645</v>
      </c>
      <c r="G111" t="s" s="37">
        <v>173</v>
      </c>
      <c r="H111" t="s" s="37">
        <v>146</v>
      </c>
      <c r="I111" t="s" s="37">
        <v>75</v>
      </c>
      <c r="J111" t="s" s="38">
        <v>84</v>
      </c>
      <c r="K111" t="s" s="38">
        <v>85</v>
      </c>
      <c r="L111" s="32"/>
      <c r="M111" s="26"/>
    </row>
    <row r="112" ht="16" customHeight="1">
      <c r="A112" t="s" s="33">
        <v>646</v>
      </c>
      <c r="B112" s="34">
        <v>123</v>
      </c>
      <c r="C112" t="s" s="35">
        <f>MID(A112,2,3)</f>
        <v>647</v>
      </c>
      <c r="D112" t="s" s="35">
        <v>648</v>
      </c>
      <c r="E112" t="s" s="35">
        <v>649</v>
      </c>
      <c r="F112" t="s" s="154">
        <v>650</v>
      </c>
      <c r="G112" t="s" s="37">
        <v>214</v>
      </c>
      <c r="H112" t="s" s="37">
        <v>146</v>
      </c>
      <c r="I112" t="s" s="37">
        <v>75</v>
      </c>
      <c r="J112" t="s" s="38">
        <v>84</v>
      </c>
      <c r="K112" t="s" s="38">
        <v>85</v>
      </c>
      <c r="L112" s="32"/>
      <c r="M112" s="26"/>
    </row>
    <row r="113" ht="16" customHeight="1">
      <c r="A113" t="s" s="33">
        <v>651</v>
      </c>
      <c r="B113" s="34">
        <v>124</v>
      </c>
      <c r="C113" t="s" s="35">
        <f>MID(A113,2,3)</f>
        <v>652</v>
      </c>
      <c r="D113" t="s" s="35">
        <v>653</v>
      </c>
      <c r="E113" t="s" s="35">
        <v>654</v>
      </c>
      <c r="F113" t="s" s="155">
        <v>655</v>
      </c>
      <c r="G113" t="s" s="37">
        <v>97</v>
      </c>
      <c r="H113" t="s" s="37">
        <v>83</v>
      </c>
      <c r="I113" t="s" s="37">
        <v>75</v>
      </c>
      <c r="J113" t="s" s="38">
        <v>84</v>
      </c>
      <c r="K113" t="s" s="38">
        <v>85</v>
      </c>
      <c r="L113" s="32"/>
      <c r="M113" s="26"/>
    </row>
    <row r="114" ht="16" customHeight="1">
      <c r="A114" t="s" s="33">
        <v>656</v>
      </c>
      <c r="B114" s="34">
        <v>125</v>
      </c>
      <c r="C114" t="s" s="35">
        <f>MID(A114,2,3)</f>
        <v>657</v>
      </c>
      <c r="D114" t="s" s="35">
        <v>658</v>
      </c>
      <c r="E114" t="s" s="35">
        <v>659</v>
      </c>
      <c r="F114" t="s" s="156">
        <v>660</v>
      </c>
      <c r="G114" t="s" s="37">
        <v>112</v>
      </c>
      <c r="H114" t="s" s="37">
        <v>146</v>
      </c>
      <c r="I114" t="s" s="37">
        <v>75</v>
      </c>
      <c r="J114" t="s" s="38">
        <v>84</v>
      </c>
      <c r="K114" t="s" s="38">
        <v>85</v>
      </c>
      <c r="L114" s="32"/>
      <c r="M114" s="26"/>
    </row>
    <row r="115" ht="16" customHeight="1">
      <c r="A115" t="s" s="33">
        <v>661</v>
      </c>
      <c r="B115" s="34">
        <v>126</v>
      </c>
      <c r="C115" t="s" s="35">
        <f>MID(A115,2,3)</f>
        <v>662</v>
      </c>
      <c r="D115" t="s" s="35">
        <v>663</v>
      </c>
      <c r="E115" t="s" s="35">
        <v>664</v>
      </c>
      <c r="F115" t="s" s="157">
        <v>665</v>
      </c>
      <c r="G115" t="s" s="37">
        <v>82</v>
      </c>
      <c r="H115" t="s" s="37">
        <v>83</v>
      </c>
      <c r="I115" t="s" s="37">
        <v>75</v>
      </c>
      <c r="J115" t="s" s="38">
        <v>84</v>
      </c>
      <c r="K115" t="s" s="38">
        <v>85</v>
      </c>
      <c r="L115" s="32"/>
      <c r="M115" s="26"/>
    </row>
    <row r="116" ht="16" customHeight="1">
      <c r="A116" t="s" s="33">
        <v>666</v>
      </c>
      <c r="B116" s="34">
        <v>127</v>
      </c>
      <c r="C116" t="s" s="35">
        <f>MID(A116,2,3)</f>
        <v>667</v>
      </c>
      <c r="D116" t="s" s="35">
        <v>668</v>
      </c>
      <c r="E116" t="s" s="35">
        <v>669</v>
      </c>
      <c r="F116" t="s" s="158">
        <v>670</v>
      </c>
      <c r="G116" t="s" s="37">
        <v>112</v>
      </c>
      <c r="H116" t="s" s="37">
        <v>83</v>
      </c>
      <c r="I116" t="s" s="37">
        <v>75</v>
      </c>
      <c r="J116" t="s" s="38">
        <v>84</v>
      </c>
      <c r="K116" t="s" s="38">
        <v>85</v>
      </c>
      <c r="L116" s="32"/>
      <c r="M116" s="26"/>
    </row>
    <row r="117" ht="16" customHeight="1">
      <c r="A117" t="s" s="33">
        <v>671</v>
      </c>
      <c r="B117" s="34">
        <v>128</v>
      </c>
      <c r="C117" t="s" s="35">
        <f>MID(A117,2,3)</f>
        <v>672</v>
      </c>
      <c r="D117" t="s" s="35">
        <v>673</v>
      </c>
      <c r="E117" t="s" s="35">
        <v>674</v>
      </c>
      <c r="F117" t="s" s="159">
        <v>675</v>
      </c>
      <c r="G117" t="s" s="37">
        <v>118</v>
      </c>
      <c r="H117" t="s" s="37">
        <v>83</v>
      </c>
      <c r="I117" t="s" s="37">
        <v>75</v>
      </c>
      <c r="J117" t="s" s="38">
        <v>84</v>
      </c>
      <c r="K117" t="s" s="38">
        <v>85</v>
      </c>
      <c r="L117" s="32"/>
      <c r="M117" s="26"/>
    </row>
    <row r="118" ht="16" customHeight="1">
      <c r="A118" t="s" s="33">
        <v>676</v>
      </c>
      <c r="B118" s="34">
        <v>129</v>
      </c>
      <c r="C118" t="s" s="35">
        <f>MID(A118,2,3)</f>
        <v>677</v>
      </c>
      <c r="D118" t="s" s="35">
        <v>678</v>
      </c>
      <c r="E118" t="s" s="35">
        <v>679</v>
      </c>
      <c r="F118" t="s" s="160">
        <v>680</v>
      </c>
      <c r="G118" t="s" s="37">
        <v>157</v>
      </c>
      <c r="H118" t="s" s="37">
        <v>83</v>
      </c>
      <c r="I118" t="s" s="37">
        <v>75</v>
      </c>
      <c r="J118" t="s" s="38">
        <v>84</v>
      </c>
      <c r="K118" t="s" s="38">
        <v>85</v>
      </c>
      <c r="L118" s="32"/>
      <c r="M118" s="26"/>
    </row>
    <row r="119" ht="16" customHeight="1">
      <c r="A119" t="s" s="33">
        <v>681</v>
      </c>
      <c r="B119" s="34">
        <v>130</v>
      </c>
      <c r="C119" t="s" s="35">
        <f>MID(A119,2,3)</f>
        <v>682</v>
      </c>
      <c r="D119" t="s" s="35">
        <v>683</v>
      </c>
      <c r="E119" t="s" s="35">
        <v>684</v>
      </c>
      <c r="F119" t="s" s="161">
        <v>685</v>
      </c>
      <c r="G119" t="s" s="37">
        <v>118</v>
      </c>
      <c r="H119" t="s" s="37">
        <v>83</v>
      </c>
      <c r="I119" t="s" s="37">
        <v>75</v>
      </c>
      <c r="J119" t="s" s="38">
        <v>84</v>
      </c>
      <c r="K119" t="s" s="38">
        <v>85</v>
      </c>
      <c r="L119" s="32"/>
      <c r="M119" s="26"/>
    </row>
    <row r="120" ht="16" customHeight="1">
      <c r="A120" t="s" s="33">
        <v>686</v>
      </c>
      <c r="B120" s="34">
        <v>131</v>
      </c>
      <c r="C120" t="s" s="35">
        <f>MID(A120,2,3)</f>
        <v>687</v>
      </c>
      <c r="D120" t="s" s="35">
        <v>688</v>
      </c>
      <c r="E120" t="s" s="35">
        <v>689</v>
      </c>
      <c r="F120" t="s" s="162">
        <v>690</v>
      </c>
      <c r="G120" t="s" s="37">
        <v>112</v>
      </c>
      <c r="H120" t="s" s="37">
        <v>83</v>
      </c>
      <c r="I120" t="s" s="37">
        <v>75</v>
      </c>
      <c r="J120" t="s" s="38">
        <v>84</v>
      </c>
      <c r="K120" t="s" s="38">
        <v>85</v>
      </c>
      <c r="L120" s="32"/>
      <c r="M120" s="26"/>
    </row>
    <row r="121" ht="16" customHeight="1">
      <c r="A121" t="s" s="33">
        <v>691</v>
      </c>
      <c r="B121" s="34">
        <v>132</v>
      </c>
      <c r="C121" t="s" s="35">
        <f>MID(A121,2,3)</f>
        <v>692</v>
      </c>
      <c r="D121" t="s" s="35">
        <v>693</v>
      </c>
      <c r="E121" t="s" s="35">
        <v>694</v>
      </c>
      <c r="F121" t="s" s="163">
        <v>695</v>
      </c>
      <c r="G121" t="s" s="37">
        <v>214</v>
      </c>
      <c r="H121" t="s" s="37">
        <v>146</v>
      </c>
      <c r="I121" t="s" s="37">
        <v>75</v>
      </c>
      <c r="J121" t="s" s="38">
        <v>84</v>
      </c>
      <c r="K121" t="s" s="38">
        <v>85</v>
      </c>
      <c r="L121" s="32"/>
      <c r="M121" s="26"/>
    </row>
    <row r="122" ht="16" customHeight="1">
      <c r="A122" t="s" s="33">
        <v>696</v>
      </c>
      <c r="B122" s="34">
        <v>133</v>
      </c>
      <c r="C122" t="s" s="35">
        <f>MID(A122,2,3)</f>
        <v>697</v>
      </c>
      <c r="D122" t="s" s="35">
        <v>698</v>
      </c>
      <c r="E122" t="s" s="35">
        <v>699</v>
      </c>
      <c r="F122" t="s" s="164">
        <v>700</v>
      </c>
      <c r="G122" t="s" s="37">
        <v>82</v>
      </c>
      <c r="H122" t="s" s="37">
        <v>83</v>
      </c>
      <c r="I122" t="s" s="37">
        <v>75</v>
      </c>
      <c r="J122" t="s" s="38">
        <v>84</v>
      </c>
      <c r="K122" t="s" s="38">
        <v>85</v>
      </c>
      <c r="L122" s="32"/>
      <c r="M122" s="26"/>
    </row>
    <row r="123" ht="16" customHeight="1">
      <c r="A123" t="s" s="33">
        <v>701</v>
      </c>
      <c r="B123" s="34">
        <v>134</v>
      </c>
      <c r="C123" t="s" s="35">
        <f>MID(A123,2,3)</f>
        <v>702</v>
      </c>
      <c r="D123" t="s" s="35">
        <v>703</v>
      </c>
      <c r="E123" t="s" s="35">
        <v>704</v>
      </c>
      <c r="F123" t="s" s="165">
        <v>705</v>
      </c>
      <c r="G123" t="s" s="37">
        <v>82</v>
      </c>
      <c r="H123" t="s" s="37">
        <v>83</v>
      </c>
      <c r="I123" t="s" s="37">
        <v>75</v>
      </c>
      <c r="J123" t="s" s="38">
        <v>84</v>
      </c>
      <c r="K123" t="s" s="38">
        <v>85</v>
      </c>
      <c r="L123" s="32"/>
      <c r="M123" s="26"/>
    </row>
    <row r="124" ht="16" customHeight="1">
      <c r="A124" t="s" s="33">
        <v>706</v>
      </c>
      <c r="B124" s="34">
        <v>135</v>
      </c>
      <c r="C124" t="s" s="35">
        <f>MID(A124,2,3)</f>
        <v>707</v>
      </c>
      <c r="D124" t="s" s="35">
        <v>708</v>
      </c>
      <c r="E124" t="s" s="35">
        <v>709</v>
      </c>
      <c r="F124" t="s" s="166">
        <v>710</v>
      </c>
      <c r="G124" t="s" s="37">
        <v>82</v>
      </c>
      <c r="H124" t="s" s="37">
        <v>83</v>
      </c>
      <c r="I124" t="s" s="37">
        <v>75</v>
      </c>
      <c r="J124" t="s" s="38">
        <v>84</v>
      </c>
      <c r="K124" t="s" s="38">
        <v>85</v>
      </c>
      <c r="L124" s="32"/>
      <c r="M124" s="26"/>
    </row>
    <row r="125" ht="16" customHeight="1">
      <c r="A125" t="s" s="33">
        <v>711</v>
      </c>
      <c r="B125" s="34">
        <v>136</v>
      </c>
      <c r="C125" t="s" s="35">
        <f>MID(A125,2,3)</f>
        <v>712</v>
      </c>
      <c r="D125" t="s" s="35">
        <v>713</v>
      </c>
      <c r="E125" t="s" s="98">
        <v>714</v>
      </c>
      <c r="F125" t="s" s="167">
        <v>715</v>
      </c>
      <c r="G125" t="s" s="37">
        <v>97</v>
      </c>
      <c r="H125" t="s" s="37">
        <v>146</v>
      </c>
      <c r="I125" t="s" s="37">
        <v>75</v>
      </c>
      <c r="J125" t="s" s="43">
        <v>104</v>
      </c>
      <c r="K125" t="s" s="38">
        <v>105</v>
      </c>
      <c r="L125" s="32"/>
      <c r="M125" s="26"/>
    </row>
    <row r="126" ht="16" customHeight="1">
      <c r="A126" t="s" s="33">
        <v>716</v>
      </c>
      <c r="B126" s="34">
        <v>137</v>
      </c>
      <c r="C126" t="s" s="35">
        <f>MID(A126,2,3)</f>
        <v>717</v>
      </c>
      <c r="D126" t="s" s="35">
        <v>718</v>
      </c>
      <c r="E126" t="s" s="35">
        <v>719</v>
      </c>
      <c r="F126" t="s" s="168">
        <v>720</v>
      </c>
      <c r="G126" t="s" s="37">
        <v>125</v>
      </c>
      <c r="H126" t="s" s="37">
        <v>83</v>
      </c>
      <c r="I126" t="s" s="37">
        <v>75</v>
      </c>
      <c r="J126" t="s" s="38">
        <v>84</v>
      </c>
      <c r="K126" t="s" s="38">
        <v>85</v>
      </c>
      <c r="L126" s="32"/>
      <c r="M126" s="26"/>
    </row>
    <row r="127" ht="16" customHeight="1">
      <c r="A127" t="s" s="33">
        <v>721</v>
      </c>
      <c r="B127" s="34">
        <v>138</v>
      </c>
      <c r="C127" t="s" s="35">
        <f>MID(A127,2,3)</f>
        <v>722</v>
      </c>
      <c r="D127" t="s" s="35">
        <v>723</v>
      </c>
      <c r="E127" t="s" s="35">
        <v>724</v>
      </c>
      <c r="F127" t="s" s="169">
        <v>725</v>
      </c>
      <c r="G127" t="s" s="37">
        <v>82</v>
      </c>
      <c r="H127" t="s" s="37">
        <v>83</v>
      </c>
      <c r="I127" t="s" s="37">
        <v>75</v>
      </c>
      <c r="J127" t="s" s="38">
        <v>84</v>
      </c>
      <c r="K127" t="s" s="38">
        <v>85</v>
      </c>
      <c r="L127" s="32"/>
      <c r="M127" s="26"/>
    </row>
    <row r="128" ht="16" customHeight="1">
      <c r="A128" t="s" s="33">
        <v>726</v>
      </c>
      <c r="B128" s="34">
        <v>139</v>
      </c>
      <c r="C128" t="s" s="35">
        <f>MID(A128,2,3)</f>
        <v>727</v>
      </c>
      <c r="D128" t="s" s="35">
        <v>728</v>
      </c>
      <c r="E128" t="s" s="35">
        <v>729</v>
      </c>
      <c r="F128" t="s" s="170">
        <v>730</v>
      </c>
      <c r="G128" t="s" s="37">
        <v>255</v>
      </c>
      <c r="H128" t="s" s="37">
        <v>83</v>
      </c>
      <c r="I128" t="s" s="37">
        <v>75</v>
      </c>
      <c r="J128" t="s" s="38">
        <v>84</v>
      </c>
      <c r="K128" t="s" s="38">
        <v>85</v>
      </c>
      <c r="L128" s="32"/>
      <c r="M128" s="26"/>
    </row>
    <row r="129" ht="16" customHeight="1">
      <c r="A129" t="s" s="33">
        <v>731</v>
      </c>
      <c r="B129" s="34">
        <v>140</v>
      </c>
      <c r="C129" t="s" s="35">
        <f>MID(A129,2,3)</f>
        <v>732</v>
      </c>
      <c r="D129" t="s" s="35">
        <v>733</v>
      </c>
      <c r="E129" t="s" s="35">
        <v>734</v>
      </c>
      <c r="F129" t="s" s="171">
        <v>735</v>
      </c>
      <c r="G129" t="s" s="37">
        <v>112</v>
      </c>
      <c r="H129" t="s" s="37">
        <v>146</v>
      </c>
      <c r="I129" t="s" s="37">
        <v>75</v>
      </c>
      <c r="J129" t="s" s="38">
        <v>84</v>
      </c>
      <c r="K129" t="s" s="38">
        <v>85</v>
      </c>
      <c r="L129" s="32"/>
      <c r="M129" s="26"/>
    </row>
    <row r="130" ht="16" customHeight="1">
      <c r="A130" t="s" s="33">
        <v>736</v>
      </c>
      <c r="B130" s="34">
        <v>141</v>
      </c>
      <c r="C130" t="s" s="35">
        <f>MID(A130,2,3)</f>
        <v>737</v>
      </c>
      <c r="D130" t="s" s="35">
        <v>738</v>
      </c>
      <c r="E130" t="s" s="35">
        <v>739</v>
      </c>
      <c r="F130" t="s" s="172">
        <v>740</v>
      </c>
      <c r="G130" t="s" s="37">
        <v>82</v>
      </c>
      <c r="H130" t="s" s="37">
        <v>146</v>
      </c>
      <c r="I130" t="s" s="37">
        <v>75</v>
      </c>
      <c r="J130" t="s" s="38">
        <v>84</v>
      </c>
      <c r="K130" t="s" s="38">
        <v>85</v>
      </c>
      <c r="L130" s="32"/>
      <c r="M130" s="26"/>
    </row>
    <row r="131" ht="16" customHeight="1">
      <c r="A131" t="s" s="33">
        <v>741</v>
      </c>
      <c r="B131" s="34">
        <v>142</v>
      </c>
      <c r="C131" t="s" s="35">
        <f>MID(A131,2,3)</f>
        <v>742</v>
      </c>
      <c r="D131" t="s" s="35">
        <v>743</v>
      </c>
      <c r="E131" t="s" s="35">
        <v>744</v>
      </c>
      <c r="F131" t="s" s="173">
        <v>745</v>
      </c>
      <c r="G131" t="s" s="37">
        <v>97</v>
      </c>
      <c r="H131" t="s" s="37">
        <v>83</v>
      </c>
      <c r="I131" t="s" s="37">
        <v>75</v>
      </c>
      <c r="J131" t="s" s="38">
        <v>84</v>
      </c>
      <c r="K131" t="s" s="38">
        <v>85</v>
      </c>
      <c r="L131" s="32"/>
      <c r="M131" s="26"/>
    </row>
    <row r="132" ht="16" customHeight="1">
      <c r="A132" t="s" s="33">
        <v>746</v>
      </c>
      <c r="B132" s="34">
        <v>143</v>
      </c>
      <c r="C132" t="s" s="35">
        <f>MID(A132,2,3)</f>
        <v>747</v>
      </c>
      <c r="D132" t="s" s="35">
        <v>748</v>
      </c>
      <c r="E132" t="s" s="35">
        <v>749</v>
      </c>
      <c r="F132" t="s" s="174">
        <v>750</v>
      </c>
      <c r="G132" t="s" s="37">
        <v>112</v>
      </c>
      <c r="H132" t="s" s="37">
        <v>83</v>
      </c>
      <c r="I132" t="s" s="37">
        <v>75</v>
      </c>
      <c r="J132" t="s" s="38">
        <v>84</v>
      </c>
      <c r="K132" t="s" s="38">
        <v>85</v>
      </c>
      <c r="L132" s="32"/>
      <c r="M132" s="26"/>
    </row>
    <row r="133" ht="16" customHeight="1">
      <c r="A133" t="s" s="33">
        <v>751</v>
      </c>
      <c r="B133" s="34">
        <v>144</v>
      </c>
      <c r="C133" t="s" s="35">
        <f>MID(A133,2,3)</f>
        <v>752</v>
      </c>
      <c r="D133" t="s" s="35">
        <v>753</v>
      </c>
      <c r="E133" t="s" s="35">
        <v>754</v>
      </c>
      <c r="F133" t="s" s="175">
        <v>755</v>
      </c>
      <c r="G133" t="s" s="37">
        <v>255</v>
      </c>
      <c r="H133" t="s" s="37">
        <v>83</v>
      </c>
      <c r="I133" t="s" s="37">
        <v>75</v>
      </c>
      <c r="J133" t="s" s="38">
        <v>84</v>
      </c>
      <c r="K133" t="s" s="38">
        <v>85</v>
      </c>
      <c r="L133" s="32"/>
      <c r="M133" s="26"/>
    </row>
    <row r="134" ht="16" customHeight="1">
      <c r="A134" t="s" s="33">
        <v>756</v>
      </c>
      <c r="B134" s="34">
        <v>145</v>
      </c>
      <c r="C134" t="s" s="35">
        <f>MID(A134,2,3)</f>
        <v>757</v>
      </c>
      <c r="D134" t="s" s="35">
        <v>758</v>
      </c>
      <c r="E134" t="s" s="35">
        <v>759</v>
      </c>
      <c r="F134" t="s" s="176">
        <v>760</v>
      </c>
      <c r="G134" t="s" s="37">
        <v>255</v>
      </c>
      <c r="H134" t="s" s="37">
        <v>119</v>
      </c>
      <c r="I134" t="s" s="37">
        <v>75</v>
      </c>
      <c r="J134" t="s" s="43">
        <v>104</v>
      </c>
      <c r="K134" t="s" s="38">
        <v>105</v>
      </c>
      <c r="L134" s="32"/>
      <c r="M134" s="26"/>
    </row>
    <row r="135" ht="16" customHeight="1">
      <c r="A135" t="s" s="33">
        <v>761</v>
      </c>
      <c r="B135" s="34">
        <v>146</v>
      </c>
      <c r="C135" t="s" s="35">
        <f>MID(A135,2,3)</f>
        <v>762</v>
      </c>
      <c r="D135" t="s" s="35">
        <v>763</v>
      </c>
      <c r="E135" t="s" s="35">
        <v>764</v>
      </c>
      <c r="F135" t="s" s="177">
        <v>765</v>
      </c>
      <c r="G135" t="s" s="37">
        <v>112</v>
      </c>
      <c r="H135" t="s" s="37">
        <v>83</v>
      </c>
      <c r="I135" t="s" s="37">
        <v>75</v>
      </c>
      <c r="J135" t="s" s="38">
        <v>84</v>
      </c>
      <c r="K135" t="s" s="38">
        <v>85</v>
      </c>
      <c r="L135" s="32"/>
      <c r="M135" s="26"/>
    </row>
    <row r="136" ht="16" customHeight="1">
      <c r="A136" t="s" s="33">
        <v>766</v>
      </c>
      <c r="B136" s="34">
        <v>147</v>
      </c>
      <c r="C136" t="s" s="35">
        <f>MID(A136,2,3)</f>
        <v>767</v>
      </c>
      <c r="D136" t="s" s="35">
        <v>768</v>
      </c>
      <c r="E136" t="s" s="35">
        <v>769</v>
      </c>
      <c r="F136" t="s" s="178">
        <v>770</v>
      </c>
      <c r="G136" t="s" s="37">
        <v>214</v>
      </c>
      <c r="H136" t="s" s="37">
        <v>83</v>
      </c>
      <c r="I136" t="s" s="37">
        <v>75</v>
      </c>
      <c r="J136" t="s" s="38">
        <v>84</v>
      </c>
      <c r="K136" t="s" s="38">
        <v>85</v>
      </c>
      <c r="L136" s="32"/>
      <c r="M136" s="26"/>
    </row>
    <row r="137" ht="16" customHeight="1">
      <c r="A137" t="s" s="33">
        <v>771</v>
      </c>
      <c r="B137" s="34">
        <v>148</v>
      </c>
      <c r="C137" t="s" s="35">
        <f>MID(A137,2,3)</f>
        <v>772</v>
      </c>
      <c r="D137" t="s" s="35">
        <v>773</v>
      </c>
      <c r="E137" t="s" s="98">
        <v>774</v>
      </c>
      <c r="F137" t="s" s="179">
        <v>775</v>
      </c>
      <c r="G137" t="s" s="37">
        <v>214</v>
      </c>
      <c r="H137" t="s" s="37">
        <v>119</v>
      </c>
      <c r="I137" t="s" s="37">
        <v>75</v>
      </c>
      <c r="J137" t="s" s="43">
        <v>104</v>
      </c>
      <c r="K137" t="s" s="38">
        <v>105</v>
      </c>
      <c r="L137" s="32"/>
      <c r="M137" s="26"/>
    </row>
    <row r="138" ht="16" customHeight="1">
      <c r="A138" t="s" s="33">
        <v>776</v>
      </c>
      <c r="B138" s="34">
        <v>149</v>
      </c>
      <c r="C138" t="s" s="35">
        <f>MID(A138,2,3)</f>
        <v>777</v>
      </c>
      <c r="D138" t="s" s="35">
        <v>778</v>
      </c>
      <c r="E138" t="s" s="35">
        <v>779</v>
      </c>
      <c r="F138" t="s" s="180">
        <v>780</v>
      </c>
      <c r="G138" t="s" s="37">
        <v>112</v>
      </c>
      <c r="H138" t="s" s="37">
        <v>146</v>
      </c>
      <c r="I138" t="s" s="37">
        <v>75</v>
      </c>
      <c r="J138" t="s" s="38">
        <v>84</v>
      </c>
      <c r="K138" t="s" s="38">
        <v>85</v>
      </c>
      <c r="L138" s="32"/>
      <c r="M138" s="26"/>
    </row>
    <row r="139" ht="16" customHeight="1">
      <c r="A139" t="s" s="33">
        <v>781</v>
      </c>
      <c r="B139" s="34">
        <v>150</v>
      </c>
      <c r="C139" t="s" s="35">
        <f>MID(A139,2,3)</f>
        <v>782</v>
      </c>
      <c r="D139" t="s" s="35">
        <v>783</v>
      </c>
      <c r="E139" t="s" s="35">
        <v>784</v>
      </c>
      <c r="F139" t="s" s="181">
        <v>785</v>
      </c>
      <c r="G139" t="s" s="37">
        <v>112</v>
      </c>
      <c r="H139" t="s" s="37">
        <v>83</v>
      </c>
      <c r="I139" t="s" s="37">
        <v>75</v>
      </c>
      <c r="J139" t="s" s="38">
        <v>84</v>
      </c>
      <c r="K139" t="s" s="38">
        <v>85</v>
      </c>
      <c r="L139" s="32"/>
      <c r="M139" s="26"/>
    </row>
    <row r="140" ht="16" customHeight="1">
      <c r="A140" t="s" s="33">
        <v>786</v>
      </c>
      <c r="B140" s="34">
        <v>151</v>
      </c>
      <c r="C140" t="s" s="35">
        <f>MID(A140,2,3)</f>
        <v>787</v>
      </c>
      <c r="D140" t="s" s="35">
        <v>788</v>
      </c>
      <c r="E140" t="s" s="35">
        <v>789</v>
      </c>
      <c r="F140" t="s" s="182">
        <v>790</v>
      </c>
      <c r="G140" t="s" s="37">
        <v>82</v>
      </c>
      <c r="H140" t="s" s="37">
        <v>83</v>
      </c>
      <c r="I140" t="s" s="37">
        <v>75</v>
      </c>
      <c r="J140" t="s" s="38">
        <v>84</v>
      </c>
      <c r="K140" t="s" s="38">
        <v>85</v>
      </c>
      <c r="L140" s="32"/>
      <c r="M140" s="26"/>
    </row>
    <row r="141" ht="16" customHeight="1">
      <c r="A141" t="s" s="33">
        <v>791</v>
      </c>
      <c r="B141" s="34">
        <v>152</v>
      </c>
      <c r="C141" t="s" s="35">
        <f>MID(A141,2,3)</f>
        <v>792</v>
      </c>
      <c r="D141" t="s" s="35">
        <v>793</v>
      </c>
      <c r="E141" t="s" s="35">
        <v>794</v>
      </c>
      <c r="F141" t="s" s="183">
        <v>795</v>
      </c>
      <c r="G141" t="s" s="37">
        <v>82</v>
      </c>
      <c r="H141" t="s" s="37">
        <v>83</v>
      </c>
      <c r="I141" t="s" s="37">
        <v>75</v>
      </c>
      <c r="J141" t="s" s="38">
        <v>84</v>
      </c>
      <c r="K141" t="s" s="38">
        <v>85</v>
      </c>
      <c r="L141" s="32"/>
      <c r="M141" s="26"/>
    </row>
    <row r="142" ht="16" customHeight="1">
      <c r="A142" t="s" s="33">
        <v>796</v>
      </c>
      <c r="B142" s="34">
        <v>153</v>
      </c>
      <c r="C142" t="s" s="35">
        <f>MID(A142,2,3)</f>
        <v>797</v>
      </c>
      <c r="D142" t="s" s="35">
        <v>798</v>
      </c>
      <c r="E142" t="s" s="98">
        <v>799</v>
      </c>
      <c r="F142" t="s" s="184">
        <v>800</v>
      </c>
      <c r="G142" t="s" s="37">
        <v>112</v>
      </c>
      <c r="H142" t="s" s="37">
        <v>83</v>
      </c>
      <c r="I142" t="s" s="37">
        <v>75</v>
      </c>
      <c r="J142" t="s" s="38">
        <v>84</v>
      </c>
      <c r="K142" t="s" s="38">
        <v>85</v>
      </c>
      <c r="L142" s="32"/>
      <c r="M142" s="26"/>
    </row>
    <row r="143" ht="16" customHeight="1">
      <c r="A143" t="s" s="33">
        <v>801</v>
      </c>
      <c r="B143" s="34">
        <v>154</v>
      </c>
      <c r="C143" t="s" s="35">
        <f>MID(A143,2,3)</f>
        <v>802</v>
      </c>
      <c r="D143" t="s" s="35">
        <v>803</v>
      </c>
      <c r="E143" t="s" s="35">
        <v>804</v>
      </c>
      <c r="F143" t="s" s="185">
        <v>805</v>
      </c>
      <c r="G143" t="s" s="37">
        <v>82</v>
      </c>
      <c r="H143" t="s" s="37">
        <v>146</v>
      </c>
      <c r="I143" t="s" s="37">
        <v>75</v>
      </c>
      <c r="J143" t="s" s="38">
        <v>84</v>
      </c>
      <c r="K143" t="s" s="38">
        <v>85</v>
      </c>
      <c r="L143" s="32"/>
      <c r="M143" s="26"/>
    </row>
    <row r="144" ht="16" customHeight="1">
      <c r="A144" t="s" s="33">
        <v>806</v>
      </c>
      <c r="B144" s="34">
        <v>155</v>
      </c>
      <c r="C144" t="s" s="35">
        <f>MID(A144,2,3)</f>
        <v>807</v>
      </c>
      <c r="D144" t="s" s="35">
        <v>808</v>
      </c>
      <c r="E144" t="s" s="35">
        <v>809</v>
      </c>
      <c r="F144" t="s" s="186">
        <v>810</v>
      </c>
      <c r="G144" t="s" s="37">
        <v>82</v>
      </c>
      <c r="H144" t="s" s="37">
        <v>146</v>
      </c>
      <c r="I144" t="s" s="37">
        <v>75</v>
      </c>
      <c r="J144" t="s" s="38">
        <v>84</v>
      </c>
      <c r="K144" t="s" s="38">
        <v>85</v>
      </c>
      <c r="L144" s="32"/>
      <c r="M144" s="26"/>
    </row>
    <row r="145" ht="16" customHeight="1">
      <c r="A145" t="s" s="33">
        <v>811</v>
      </c>
      <c r="B145" s="34">
        <v>156</v>
      </c>
      <c r="C145" t="s" s="35">
        <f>MID(A145,2,3)</f>
        <v>812</v>
      </c>
      <c r="D145" t="s" s="35">
        <v>813</v>
      </c>
      <c r="E145" t="s" s="35">
        <v>814</v>
      </c>
      <c r="F145" t="s" s="187">
        <v>172</v>
      </c>
      <c r="G145" t="s" s="37">
        <v>112</v>
      </c>
      <c r="H145" t="s" s="37">
        <v>146</v>
      </c>
      <c r="I145" t="s" s="37">
        <v>75</v>
      </c>
      <c r="J145" t="s" s="38">
        <v>84</v>
      </c>
      <c r="K145" t="s" s="38">
        <v>85</v>
      </c>
      <c r="L145" s="32"/>
      <c r="M145" s="26"/>
    </row>
    <row r="146" ht="16" customHeight="1">
      <c r="A146" t="s" s="33">
        <v>815</v>
      </c>
      <c r="B146" s="34">
        <v>157</v>
      </c>
      <c r="C146" t="s" s="35">
        <f>MID(A146,2,3)</f>
        <v>816</v>
      </c>
      <c r="D146" t="s" s="35">
        <v>817</v>
      </c>
      <c r="E146" t="s" s="35">
        <v>818</v>
      </c>
      <c r="F146" t="s" s="188">
        <v>819</v>
      </c>
      <c r="G146" t="s" s="37">
        <v>103</v>
      </c>
      <c r="H146" t="s" s="37">
        <v>146</v>
      </c>
      <c r="I146" t="s" s="37">
        <v>75</v>
      </c>
      <c r="J146" t="s" s="43">
        <v>104</v>
      </c>
      <c r="K146" t="s" s="38">
        <v>105</v>
      </c>
      <c r="L146" s="32"/>
      <c r="M146" s="26"/>
    </row>
    <row r="147" ht="16" customHeight="1">
      <c r="A147" t="s" s="33">
        <v>820</v>
      </c>
      <c r="B147" s="34">
        <v>158</v>
      </c>
      <c r="C147" t="s" s="35">
        <f>MID(A147,2,3)</f>
        <v>821</v>
      </c>
      <c r="D147" t="s" s="35">
        <v>822</v>
      </c>
      <c r="E147" t="s" s="35">
        <v>823</v>
      </c>
      <c r="F147" t="s" s="189">
        <v>824</v>
      </c>
      <c r="G147" t="s" s="37">
        <v>112</v>
      </c>
      <c r="H147" t="s" s="37">
        <v>146</v>
      </c>
      <c r="I147" t="s" s="37">
        <v>75</v>
      </c>
      <c r="J147" t="s" s="38">
        <v>84</v>
      </c>
      <c r="K147" t="s" s="38">
        <v>85</v>
      </c>
      <c r="L147" s="32"/>
      <c r="M147" s="26"/>
    </row>
    <row r="148" ht="16" customHeight="1">
      <c r="A148" t="s" s="33">
        <v>825</v>
      </c>
      <c r="B148" s="34">
        <v>159</v>
      </c>
      <c r="C148" t="s" s="35">
        <f>MID(A148,2,3)</f>
        <v>826</v>
      </c>
      <c r="D148" t="s" s="35">
        <v>827</v>
      </c>
      <c r="E148" t="s" s="35">
        <v>828</v>
      </c>
      <c r="F148" t="s" s="190">
        <v>829</v>
      </c>
      <c r="G148" t="s" s="37">
        <v>173</v>
      </c>
      <c r="H148" t="s" s="37">
        <v>146</v>
      </c>
      <c r="I148" t="s" s="37">
        <v>75</v>
      </c>
      <c r="J148" t="s" s="38">
        <v>84</v>
      </c>
      <c r="K148" t="s" s="38">
        <v>85</v>
      </c>
      <c r="L148" s="32"/>
      <c r="M148" s="26"/>
    </row>
    <row r="149" ht="16" customHeight="1">
      <c r="A149" t="s" s="33">
        <v>830</v>
      </c>
      <c r="B149" s="34">
        <v>160</v>
      </c>
      <c r="C149" t="s" s="35">
        <f>MID(A149,2,3)</f>
        <v>831</v>
      </c>
      <c r="D149" t="s" s="35">
        <v>832</v>
      </c>
      <c r="E149" t="s" s="35">
        <v>833</v>
      </c>
      <c r="F149" t="s" s="191">
        <v>834</v>
      </c>
      <c r="G149" t="s" s="37">
        <v>157</v>
      </c>
      <c r="H149" t="s" s="37">
        <v>83</v>
      </c>
      <c r="I149" t="s" s="37">
        <v>75</v>
      </c>
      <c r="J149" t="s" s="38">
        <v>84</v>
      </c>
      <c r="K149" t="s" s="38">
        <v>85</v>
      </c>
      <c r="L149" s="32"/>
      <c r="M149" s="26"/>
    </row>
    <row r="150" ht="16" customHeight="1">
      <c r="A150" t="s" s="33">
        <v>835</v>
      </c>
      <c r="B150" s="34">
        <v>161</v>
      </c>
      <c r="C150" t="s" s="35">
        <f>MID(A150,2,3)</f>
        <v>836</v>
      </c>
      <c r="D150" t="s" s="35">
        <v>837</v>
      </c>
      <c r="E150" t="s" s="35">
        <v>838</v>
      </c>
      <c r="F150" t="s" s="192">
        <v>839</v>
      </c>
      <c r="G150" t="s" s="37">
        <v>97</v>
      </c>
      <c r="H150" t="s" s="37">
        <v>83</v>
      </c>
      <c r="I150" t="s" s="37">
        <v>75</v>
      </c>
      <c r="J150" t="s" s="38">
        <v>84</v>
      </c>
      <c r="K150" t="s" s="38">
        <v>85</v>
      </c>
      <c r="L150" s="32"/>
      <c r="M150" s="26"/>
    </row>
    <row r="151" ht="16" customHeight="1">
      <c r="A151" t="s" s="33">
        <v>840</v>
      </c>
      <c r="B151" s="34">
        <v>162</v>
      </c>
      <c r="C151" t="s" s="35">
        <f>MID(A151,2,3)</f>
        <v>841</v>
      </c>
      <c r="D151" t="s" s="35">
        <v>842</v>
      </c>
      <c r="E151" t="s" s="35">
        <v>843</v>
      </c>
      <c r="F151" t="s" s="193">
        <v>844</v>
      </c>
      <c r="G151" t="s" s="37">
        <v>112</v>
      </c>
      <c r="H151" t="s" s="37">
        <v>83</v>
      </c>
      <c r="I151" t="s" s="37">
        <v>75</v>
      </c>
      <c r="J151" t="s" s="38">
        <v>84</v>
      </c>
      <c r="K151" t="s" s="38">
        <v>85</v>
      </c>
      <c r="L151" s="32"/>
      <c r="M151" s="26"/>
    </row>
    <row r="152" ht="16" customHeight="1">
      <c r="A152" t="s" s="33">
        <v>845</v>
      </c>
      <c r="B152" s="34">
        <v>163</v>
      </c>
      <c r="C152" t="s" s="35">
        <f>MID(A152,2,3)</f>
        <v>846</v>
      </c>
      <c r="D152" t="s" s="35">
        <v>847</v>
      </c>
      <c r="E152" t="s" s="98">
        <v>848</v>
      </c>
      <c r="F152" t="s" s="194">
        <v>849</v>
      </c>
      <c r="G152" t="s" s="37">
        <v>97</v>
      </c>
      <c r="H152" t="s" s="37">
        <v>119</v>
      </c>
      <c r="I152" t="s" s="37">
        <v>75</v>
      </c>
      <c r="J152" t="s" s="43">
        <v>104</v>
      </c>
      <c r="K152" t="s" s="38">
        <v>105</v>
      </c>
      <c r="L152" s="32"/>
      <c r="M152" s="26"/>
    </row>
    <row r="153" ht="16" customHeight="1">
      <c r="A153" t="s" s="33">
        <v>850</v>
      </c>
      <c r="B153" s="34">
        <v>164</v>
      </c>
      <c r="C153" t="s" s="35">
        <f>MID(A153,2,3)</f>
        <v>851</v>
      </c>
      <c r="D153" t="s" s="35">
        <v>852</v>
      </c>
      <c r="E153" t="s" s="35">
        <v>853</v>
      </c>
      <c r="F153" t="s" s="195">
        <v>854</v>
      </c>
      <c r="G153" t="s" s="37">
        <v>97</v>
      </c>
      <c r="H153" t="s" s="37">
        <v>119</v>
      </c>
      <c r="I153" t="s" s="37">
        <v>75</v>
      </c>
      <c r="J153" t="s" s="43">
        <v>104</v>
      </c>
      <c r="K153" t="s" s="38">
        <v>105</v>
      </c>
      <c r="L153" s="32"/>
      <c r="M153" s="26"/>
    </row>
    <row r="154" ht="16" customHeight="1">
      <c r="A154" s="196"/>
      <c r="B154" s="196"/>
      <c r="C154" t="s" s="35">
        <v>855</v>
      </c>
      <c r="D154" t="s" s="35">
        <v>856</v>
      </c>
      <c r="E154" t="s" s="98">
        <v>857</v>
      </c>
      <c r="F154" t="s" s="197">
        <v>858</v>
      </c>
      <c r="G154" t="s" s="37">
        <v>103</v>
      </c>
      <c r="H154" t="s" s="37">
        <v>119</v>
      </c>
      <c r="I154" t="s" s="37">
        <v>75</v>
      </c>
      <c r="J154" t="s" s="43">
        <v>104</v>
      </c>
      <c r="K154" t="s" s="38">
        <v>105</v>
      </c>
      <c r="L154" s="32"/>
      <c r="M154" s="26"/>
    </row>
    <row r="155" ht="16" customHeight="1">
      <c r="A155" s="26"/>
      <c r="B155" s="26"/>
      <c r="C155" s="198"/>
      <c r="D155" s="198"/>
      <c r="E155" s="198"/>
      <c r="F155" s="198"/>
      <c r="G155" s="199"/>
      <c r="H155" s="199"/>
      <c r="I155" s="199"/>
      <c r="J155" s="200"/>
      <c r="K155" s="200"/>
      <c r="L155" s="26"/>
      <c r="M155" s="26"/>
    </row>
    <row r="156" ht="16" customHeight="1">
      <c r="A156" s="201"/>
      <c r="B156" s="201"/>
      <c r="C156" s="202"/>
      <c r="D156" s="202"/>
      <c r="E156" s="202"/>
      <c r="F156" s="202"/>
      <c r="G156" s="203"/>
      <c r="H156" s="203"/>
      <c r="I156" s="203"/>
      <c r="J156" s="201"/>
      <c r="K156" s="201"/>
      <c r="L156" s="201"/>
      <c r="M156" s="201"/>
    </row>
    <row r="157" ht="16" customHeight="1">
      <c r="A157" s="204"/>
      <c r="B157" s="204"/>
      <c r="C157" t="s" s="205">
        <v>859</v>
      </c>
      <c r="D157" t="s" s="205">
        <v>860</v>
      </c>
      <c r="E157" t="s" s="205">
        <v>861</v>
      </c>
      <c r="F157" t="s" s="206">
        <v>862</v>
      </c>
      <c r="G157" s="207"/>
      <c r="H157" s="207"/>
      <c r="I157" s="207"/>
      <c r="J157" s="204"/>
      <c r="K157" s="204"/>
      <c r="L157" s="204"/>
      <c r="M157" s="208"/>
    </row>
    <row r="158" ht="16" customHeight="1">
      <c r="A158" s="209"/>
      <c r="B158" s="209"/>
      <c r="C158" t="s" s="210">
        <v>863</v>
      </c>
      <c r="D158" t="s" s="210">
        <v>864</v>
      </c>
      <c r="E158" t="s" s="210">
        <v>865</v>
      </c>
      <c r="F158" t="s" s="210">
        <v>866</v>
      </c>
      <c r="G158" s="211"/>
      <c r="H158" s="211"/>
      <c r="I158" s="211"/>
      <c r="J158" s="209"/>
      <c r="K158" s="209"/>
      <c r="L158" s="209"/>
      <c r="M158" s="21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I10"/>
  <sheetViews>
    <sheetView workbookViewId="0" showGridLines="0" defaultGridColor="1"/>
  </sheetViews>
  <sheetFormatPr defaultColWidth="10.8333" defaultRowHeight="15" customHeight="1" outlineLevelRow="0" outlineLevelCol="0"/>
  <cols>
    <col min="1" max="1" width="18.3516" style="213" customWidth="1"/>
    <col min="2" max="2" width="35" style="213" customWidth="1"/>
    <col min="3" max="3" width="29" style="213" customWidth="1"/>
    <col min="4" max="6" width="10.8516" style="213" customWidth="1"/>
    <col min="7" max="7" width="14.1719" style="213" customWidth="1"/>
    <col min="8" max="8" width="11.8516" style="213" customWidth="1"/>
    <col min="9" max="9" width="18.6719" style="213" customWidth="1"/>
    <col min="10" max="16384" width="10.8516" style="213" customWidth="1"/>
  </cols>
  <sheetData>
    <row r="1" ht="16" customHeight="1">
      <c r="A1" t="s" s="214">
        <v>868</v>
      </c>
      <c r="B1" t="s" s="214">
        <v>856</v>
      </c>
      <c r="C1" t="s" s="214">
        <v>869</v>
      </c>
      <c r="D1" t="s" s="215">
        <v>858</v>
      </c>
      <c r="E1" t="s" s="38">
        <v>103</v>
      </c>
      <c r="F1" t="s" s="38">
        <v>119</v>
      </c>
      <c r="G1" t="s" s="38">
        <v>75</v>
      </c>
      <c r="H1" t="s" s="43">
        <v>104</v>
      </c>
      <c r="I1" t="s" s="38">
        <v>105</v>
      </c>
    </row>
    <row r="2" ht="16" customHeight="1">
      <c r="A2" t="s" s="214">
        <v>870</v>
      </c>
      <c r="B2" t="s" s="214">
        <v>871</v>
      </c>
      <c r="C2" t="s" s="214">
        <v>872</v>
      </c>
      <c r="D2" t="s" s="216">
        <v>873</v>
      </c>
      <c r="E2" t="s" s="38">
        <v>82</v>
      </c>
      <c r="F2" t="s" s="38">
        <v>119</v>
      </c>
      <c r="G2" t="s" s="217">
        <v>874</v>
      </c>
      <c r="H2" t="s" s="43">
        <v>104</v>
      </c>
      <c r="I2" t="s" s="38">
        <v>105</v>
      </c>
    </row>
    <row r="3" ht="16" customHeight="1">
      <c r="A3" t="s" s="214">
        <v>875</v>
      </c>
      <c r="B3" t="s" s="214">
        <v>876</v>
      </c>
      <c r="C3" t="s" s="214">
        <v>877</v>
      </c>
      <c r="D3" t="s" s="218">
        <v>854</v>
      </c>
      <c r="E3" t="s" s="38">
        <v>97</v>
      </c>
      <c r="F3" t="s" s="38">
        <v>119</v>
      </c>
      <c r="G3" t="s" s="38">
        <v>878</v>
      </c>
      <c r="H3" t="s" s="43">
        <v>104</v>
      </c>
      <c r="I3" t="s" s="38">
        <v>105</v>
      </c>
    </row>
    <row r="4" ht="16" customHeight="1">
      <c r="A4" t="s" s="214">
        <v>879</v>
      </c>
      <c r="B4" t="s" s="38">
        <v>880</v>
      </c>
      <c r="C4" t="s" s="38">
        <v>881</v>
      </c>
      <c r="D4" t="s" s="219">
        <v>882</v>
      </c>
      <c r="E4" t="s" s="38">
        <v>82</v>
      </c>
      <c r="F4" t="s" s="38">
        <v>119</v>
      </c>
      <c r="G4" t="s" s="38">
        <v>75</v>
      </c>
      <c r="H4" t="s" s="43">
        <v>104</v>
      </c>
      <c r="I4" t="s" s="38">
        <v>105</v>
      </c>
    </row>
    <row r="5" ht="16" customHeight="1">
      <c r="A5" t="s" s="214">
        <v>883</v>
      </c>
      <c r="B5" t="s" s="214">
        <v>884</v>
      </c>
      <c r="C5" t="s" s="214">
        <v>885</v>
      </c>
      <c r="D5" t="s" s="220">
        <v>886</v>
      </c>
      <c r="E5" t="s" s="38">
        <v>214</v>
      </c>
      <c r="F5" t="s" s="38">
        <v>146</v>
      </c>
      <c r="G5" t="s" s="38">
        <v>75</v>
      </c>
      <c r="H5" t="s" s="38">
        <v>84</v>
      </c>
      <c r="I5" t="s" s="38">
        <v>85</v>
      </c>
    </row>
    <row r="6" ht="16" customHeight="1">
      <c r="A6" t="s" s="214">
        <v>887</v>
      </c>
      <c r="B6" t="s" s="214">
        <v>888</v>
      </c>
      <c r="C6" t="s" s="214">
        <v>889</v>
      </c>
      <c r="D6" t="s" s="221">
        <v>500</v>
      </c>
      <c r="E6" t="s" s="38">
        <v>82</v>
      </c>
      <c r="F6" t="s" s="38">
        <v>119</v>
      </c>
      <c r="G6" t="s" s="38">
        <v>75</v>
      </c>
      <c r="H6" t="s" s="43">
        <v>104</v>
      </c>
      <c r="I6" t="s" s="38">
        <v>105</v>
      </c>
    </row>
    <row r="7" ht="16" customHeight="1">
      <c r="A7" t="s" s="214">
        <v>890</v>
      </c>
      <c r="B7" t="s" s="214">
        <v>891</v>
      </c>
      <c r="C7" t="s" s="214">
        <v>892</v>
      </c>
      <c r="D7" t="s" s="220">
        <v>886</v>
      </c>
      <c r="E7" t="s" s="38">
        <v>214</v>
      </c>
      <c r="F7" t="s" s="38">
        <v>119</v>
      </c>
      <c r="G7" t="s" s="38">
        <v>75</v>
      </c>
      <c r="H7" t="s" s="43">
        <v>104</v>
      </c>
      <c r="I7" t="s" s="38">
        <v>105</v>
      </c>
    </row>
    <row r="8" ht="16" customHeight="1">
      <c r="A8" t="s" s="214">
        <v>893</v>
      </c>
      <c r="B8" t="s" s="214">
        <v>894</v>
      </c>
      <c r="C8" t="s" s="214">
        <v>895</v>
      </c>
      <c r="D8" t="s" s="222">
        <v>610</v>
      </c>
      <c r="E8" t="s" s="38">
        <v>112</v>
      </c>
      <c r="F8" t="s" s="38">
        <v>119</v>
      </c>
      <c r="G8" t="s" s="38">
        <v>75</v>
      </c>
      <c r="H8" t="s" s="43">
        <v>104</v>
      </c>
      <c r="I8" t="s" s="38">
        <v>105</v>
      </c>
    </row>
    <row r="9" ht="16" customHeight="1">
      <c r="A9" s="200"/>
      <c r="B9" s="200"/>
      <c r="C9" s="200"/>
      <c r="D9" s="200"/>
      <c r="E9" s="200"/>
      <c r="F9" s="200"/>
      <c r="G9" s="200"/>
      <c r="H9" s="200"/>
      <c r="I9" s="200"/>
    </row>
    <row r="10" ht="16" customHeight="1">
      <c r="A10" s="26"/>
      <c r="B10" s="26"/>
      <c r="C10" s="26"/>
      <c r="D10" s="26"/>
      <c r="E10" s="26"/>
      <c r="F10" s="26"/>
      <c r="G10" s="26"/>
      <c r="H10" s="26"/>
      <c r="I10" s="2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